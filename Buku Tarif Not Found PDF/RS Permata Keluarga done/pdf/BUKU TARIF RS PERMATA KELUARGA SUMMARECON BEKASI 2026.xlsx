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Buku Tarif 2026\"/>
    </mc:Choice>
  </mc:AlternateContent>
  <xr:revisionPtr revIDLastSave="0" documentId="13_ncr:1_{9E336B7C-8CA9-408E-B122-269B0C9D456E}" xr6:coauthVersionLast="47" xr6:coauthVersionMax="47" xr10:uidLastSave="{00000000-0000-0000-0000-000000000000}"/>
  <workbookProtection workbookAlgorithmName="SHA-512" workbookHashValue="grenu7FR8vGgvJ4pUJNu6TH0TaGtwwkRfLcED3xiA3RVQLuk2LckpEcbv14+sL1vdzpfXTDiih3v5cM0TDM6lw==" workbookSaltValue="DrysThTbhuYQyK5hDKuRZA==" workbookSpinCount="100000" lockStructure="1"/>
  <bookViews>
    <workbookView xWindow="-120" yWindow="-120" windowWidth="29040" windowHeight="15720" tabRatio="615" firstSheet="8" activeTab="9" xr2:uid="{52DD656B-3C57-41ED-AAD6-35013EFECD58}"/>
  </bookViews>
  <sheets>
    <sheet name="KAMAR" sheetId="14" r:id="rId1"/>
    <sheet name="1. PELAYANAN" sheetId="18" r:id="rId2"/>
    <sheet name="2. RAJAL" sheetId="1" r:id="rId3"/>
    <sheet name="3. RANAP" sheetId="2" r:id="rId4"/>
    <sheet name="4. FISIOTERAPI" sheetId="17" r:id="rId5"/>
    <sheet name="5. RADIOLOGI" sheetId="3" r:id="rId6"/>
    <sheet name="6. LABORATORIUM" sheetId="19" r:id="rId7"/>
    <sheet name="Sheet2" sheetId="20" state="hidden" r:id="rId8"/>
    <sheet name="7. OPERASI" sheetId="5" r:id="rId9"/>
    <sheet name="7. Gol. Operasi " sheetId="16" r:id="rId10"/>
    <sheet name="8. PEMAKAIAN ALAT" sheetId="13" r:id="rId11"/>
    <sheet name="9. AMBULANCE" sheetId="11" r:id="rId12"/>
  </sheets>
  <definedNames>
    <definedName name="_xlnm._FilterDatabase" localSheetId="2" hidden="1">'2. RAJAL'!$A$4:$D$666</definedName>
    <definedName name="_xlnm.Print_Titles" localSheetId="2">'2. RAJAL'!$4:$4</definedName>
    <definedName name="_xlnm.Print_Titles" localSheetId="3">'3. RANAP'!$4:$4</definedName>
    <definedName name="_xlnm.Print_Titles" localSheetId="6">'6. LABORATORIUM'!$4:$4</definedName>
    <definedName name="_xlnm.Print_Titles" localSheetId="10">'8. PEMAKAIAN ALAT'!$4:$4</definedName>
    <definedName name="_xlnm.Print_Titles" localSheetId="0">KAMAR!$2:$2</definedName>
  </definedNames>
  <calcPr calcId="191029"/>
  <extLst>
    <ext xmlns:x14="http://schemas.microsoft.com/office/spreadsheetml/2009/9/main" uri="{79F54976-1DA5-4618-B147-4CDE4B953A38}">
      <x14:workbookPr defaultImageDpi="150" discardImageEditData="1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9" i="3" l="1"/>
  <c r="D69" i="3" s="1"/>
  <c r="E68" i="5" l="1"/>
  <c r="F68" i="5"/>
  <c r="G68" i="5"/>
  <c r="H68" i="5"/>
  <c r="H67" i="5"/>
  <c r="G67" i="5"/>
  <c r="F67" i="5"/>
  <c r="E67" i="5"/>
  <c r="I56" i="5"/>
  <c r="H56" i="5"/>
  <c r="F56" i="5"/>
  <c r="G56" i="5" s="1"/>
  <c r="E56" i="5"/>
  <c r="D56" i="5"/>
  <c r="G55" i="5"/>
  <c r="F55" i="5"/>
  <c r="D55" i="5"/>
  <c r="C55" i="5"/>
  <c r="E55" i="5" s="1"/>
  <c r="F6" i="3"/>
  <c r="G6" i="3"/>
  <c r="E6" i="2"/>
  <c r="F6" i="2"/>
  <c r="G6" i="2"/>
  <c r="H6" i="2"/>
  <c r="E7" i="2"/>
  <c r="F7" i="2"/>
  <c r="G7" i="2"/>
  <c r="H7" i="2"/>
  <c r="E8" i="2"/>
  <c r="F8" i="2"/>
  <c r="G8" i="2"/>
  <c r="H8" i="2"/>
  <c r="E9" i="2"/>
  <c r="F9" i="2"/>
  <c r="G9" i="2"/>
  <c r="H9" i="2"/>
  <c r="E10" i="2"/>
  <c r="F10" i="2"/>
  <c r="G10" i="2"/>
  <c r="H10" i="2"/>
  <c r="E11" i="2"/>
  <c r="F11" i="2"/>
  <c r="G11" i="2"/>
  <c r="H11" i="2"/>
  <c r="E12" i="2"/>
  <c r="F12" i="2"/>
  <c r="G12" i="2"/>
  <c r="H12" i="2"/>
  <c r="E13" i="2"/>
  <c r="F13" i="2"/>
  <c r="G13" i="2"/>
  <c r="H13" i="2"/>
  <c r="E14" i="2"/>
  <c r="F14" i="2"/>
  <c r="G14" i="2"/>
  <c r="H14" i="2"/>
  <c r="E15" i="2"/>
  <c r="F15" i="2"/>
  <c r="G15" i="2"/>
  <c r="H15" i="2"/>
  <c r="E16" i="2"/>
  <c r="F16" i="2"/>
  <c r="G16" i="2"/>
  <c r="H16" i="2"/>
  <c r="E17" i="2"/>
  <c r="F17" i="2"/>
  <c r="G17" i="2"/>
  <c r="H17" i="2"/>
  <c r="E18" i="2"/>
  <c r="F18" i="2"/>
  <c r="G18" i="2"/>
  <c r="H18" i="2"/>
  <c r="E19" i="2"/>
  <c r="F19" i="2"/>
  <c r="G19" i="2"/>
  <c r="H19" i="2"/>
  <c r="E20" i="2"/>
  <c r="F20" i="2"/>
  <c r="G20" i="2"/>
  <c r="H20" i="2"/>
  <c r="E21" i="2"/>
  <c r="F21" i="2"/>
  <c r="G21" i="2"/>
  <c r="H21" i="2"/>
  <c r="E22" i="2"/>
  <c r="F22" i="2"/>
  <c r="G22" i="2"/>
  <c r="H22" i="2"/>
  <c r="E23" i="2"/>
  <c r="F23" i="2"/>
  <c r="G23" i="2"/>
  <c r="H23" i="2"/>
  <c r="E24" i="2"/>
  <c r="F24" i="2"/>
  <c r="G24" i="2"/>
  <c r="H24" i="2"/>
  <c r="E25" i="2"/>
  <c r="F25" i="2"/>
  <c r="G25" i="2"/>
  <c r="H25" i="2"/>
  <c r="E26" i="2"/>
  <c r="F26" i="2"/>
  <c r="G26" i="2"/>
  <c r="H26" i="2"/>
  <c r="E27" i="2"/>
  <c r="F27" i="2"/>
  <c r="G27" i="2"/>
  <c r="H27" i="2"/>
  <c r="E28" i="2"/>
  <c r="F28" i="2"/>
  <c r="G28" i="2"/>
  <c r="H28" i="2"/>
  <c r="E29" i="2"/>
  <c r="F29" i="2"/>
  <c r="G29" i="2"/>
  <c r="H29" i="2"/>
  <c r="E30" i="2"/>
  <c r="F30" i="2"/>
  <c r="G30" i="2"/>
  <c r="H30" i="2"/>
  <c r="E31" i="2"/>
  <c r="F31" i="2"/>
  <c r="G31" i="2"/>
  <c r="H31" i="2"/>
  <c r="E32" i="2"/>
  <c r="F32" i="2"/>
  <c r="G32" i="2"/>
  <c r="H32" i="2"/>
  <c r="E33" i="2"/>
  <c r="F33" i="2"/>
  <c r="G33" i="2"/>
  <c r="H33" i="2"/>
  <c r="E34" i="2"/>
  <c r="F34" i="2"/>
  <c r="G34" i="2"/>
  <c r="H34" i="2"/>
  <c r="E35" i="2"/>
  <c r="F35" i="2"/>
  <c r="G35" i="2"/>
  <c r="H35" i="2"/>
  <c r="E36" i="2"/>
  <c r="F36" i="2"/>
  <c r="G36" i="2"/>
  <c r="H36" i="2"/>
  <c r="E37" i="2"/>
  <c r="F37" i="2"/>
  <c r="G37" i="2"/>
  <c r="H37" i="2"/>
  <c r="E38" i="2"/>
  <c r="F38" i="2"/>
  <c r="G38" i="2"/>
  <c r="H38" i="2"/>
  <c r="E39" i="2"/>
  <c r="F39" i="2"/>
  <c r="G39" i="2"/>
  <c r="H39" i="2"/>
  <c r="E40" i="2"/>
  <c r="F40" i="2"/>
  <c r="G40" i="2"/>
  <c r="H40" i="2"/>
  <c r="E41" i="2"/>
  <c r="F41" i="2"/>
  <c r="G41" i="2"/>
  <c r="H41" i="2"/>
  <c r="E42" i="2"/>
  <c r="F42" i="2"/>
  <c r="G42" i="2"/>
  <c r="H42" i="2"/>
  <c r="E43" i="2"/>
  <c r="F43" i="2"/>
  <c r="G43" i="2"/>
  <c r="H43" i="2"/>
  <c r="E44" i="2"/>
  <c r="F44" i="2"/>
  <c r="G44" i="2"/>
  <c r="H44" i="2"/>
  <c r="E45" i="2"/>
  <c r="F45" i="2"/>
  <c r="G45" i="2"/>
  <c r="H45" i="2"/>
  <c r="E46" i="2"/>
  <c r="F46" i="2"/>
  <c r="G46" i="2"/>
  <c r="H46" i="2"/>
  <c r="E47" i="2"/>
  <c r="F47" i="2"/>
  <c r="G47" i="2"/>
  <c r="H47" i="2"/>
  <c r="E48" i="2"/>
  <c r="F48" i="2"/>
  <c r="G48" i="2"/>
  <c r="H48" i="2"/>
  <c r="E49" i="2"/>
  <c r="F49" i="2"/>
  <c r="G49" i="2"/>
  <c r="H49" i="2"/>
  <c r="E50" i="2"/>
  <c r="F50" i="2"/>
  <c r="G50" i="2"/>
  <c r="H50" i="2"/>
  <c r="E51" i="2"/>
  <c r="F51" i="2"/>
  <c r="G51" i="2"/>
  <c r="H51" i="2"/>
  <c r="E52" i="2"/>
  <c r="F52" i="2"/>
  <c r="G52" i="2"/>
  <c r="H52" i="2"/>
  <c r="E53" i="2"/>
  <c r="F53" i="2"/>
  <c r="G53" i="2"/>
  <c r="H53" i="2"/>
  <c r="E54" i="2"/>
  <c r="F54" i="2"/>
  <c r="G54" i="2"/>
  <c r="H54" i="2"/>
  <c r="E55" i="2"/>
  <c r="F55" i="2"/>
  <c r="G55" i="2"/>
  <c r="H55" i="2"/>
  <c r="E56" i="2"/>
  <c r="F56" i="2"/>
  <c r="G56" i="2"/>
  <c r="H56" i="2"/>
  <c r="E57" i="2"/>
  <c r="F57" i="2"/>
  <c r="G57" i="2"/>
  <c r="H57" i="2"/>
  <c r="E58" i="2"/>
  <c r="F58" i="2"/>
  <c r="G58" i="2"/>
  <c r="H58" i="2"/>
  <c r="E59" i="2"/>
  <c r="F59" i="2"/>
  <c r="G59" i="2"/>
  <c r="H59" i="2"/>
  <c r="E60" i="2"/>
  <c r="F60" i="2"/>
  <c r="G60" i="2"/>
  <c r="H60" i="2"/>
  <c r="E61" i="2"/>
  <c r="F61" i="2"/>
  <c r="G61" i="2"/>
  <c r="H61" i="2"/>
  <c r="E62" i="2"/>
  <c r="F62" i="2"/>
  <c r="G62" i="2"/>
  <c r="H62" i="2"/>
  <c r="E63" i="2"/>
  <c r="F63" i="2"/>
  <c r="G63" i="2"/>
  <c r="H63" i="2"/>
  <c r="E64" i="2"/>
  <c r="F64" i="2"/>
  <c r="G64" i="2"/>
  <c r="H64" i="2"/>
  <c r="E65" i="2"/>
  <c r="F65" i="2"/>
  <c r="G65" i="2"/>
  <c r="H65" i="2"/>
  <c r="E66" i="2"/>
  <c r="F66" i="2"/>
  <c r="G66" i="2"/>
  <c r="H66" i="2"/>
  <c r="E67" i="2"/>
  <c r="F67" i="2"/>
  <c r="G67" i="2"/>
  <c r="H67" i="2"/>
  <c r="E68" i="2"/>
  <c r="F68" i="2"/>
  <c r="G68" i="2"/>
  <c r="H68" i="2"/>
  <c r="E69" i="2"/>
  <c r="F69" i="2"/>
  <c r="G69" i="2"/>
  <c r="H69" i="2"/>
  <c r="E70" i="2"/>
  <c r="F70" i="2"/>
  <c r="G70" i="2"/>
  <c r="H70" i="2"/>
  <c r="E71" i="2"/>
  <c r="F71" i="2"/>
  <c r="G71" i="2"/>
  <c r="H71" i="2"/>
  <c r="E72" i="2"/>
  <c r="F72" i="2"/>
  <c r="G72" i="2"/>
  <c r="H72" i="2"/>
  <c r="E73" i="2"/>
  <c r="F73" i="2"/>
  <c r="G73" i="2"/>
  <c r="H73" i="2"/>
  <c r="E74" i="2"/>
  <c r="F74" i="2"/>
  <c r="G74" i="2"/>
  <c r="H74" i="2"/>
  <c r="E75" i="2"/>
  <c r="F75" i="2"/>
  <c r="G75" i="2"/>
  <c r="H75" i="2"/>
  <c r="E76" i="2"/>
  <c r="F76" i="2"/>
  <c r="G76" i="2"/>
  <c r="H76" i="2"/>
  <c r="E77" i="2"/>
  <c r="F77" i="2"/>
  <c r="G77" i="2"/>
  <c r="H77" i="2"/>
  <c r="E78" i="2"/>
  <c r="F78" i="2"/>
  <c r="G78" i="2"/>
  <c r="H78" i="2"/>
  <c r="E79" i="2"/>
  <c r="F79" i="2"/>
  <c r="G79" i="2"/>
  <c r="H79" i="2"/>
  <c r="E80" i="2"/>
  <c r="F80" i="2"/>
  <c r="G80" i="2"/>
  <c r="H80" i="2"/>
  <c r="E81" i="2"/>
  <c r="F81" i="2"/>
  <c r="G81" i="2"/>
  <c r="H81" i="2"/>
  <c r="E82" i="2"/>
  <c r="F82" i="2"/>
  <c r="G82" i="2"/>
  <c r="H82" i="2"/>
  <c r="E83" i="2"/>
  <c r="F83" i="2"/>
  <c r="G83" i="2"/>
  <c r="H83" i="2"/>
  <c r="E84" i="2"/>
  <c r="F84" i="2"/>
  <c r="G84" i="2"/>
  <c r="H84" i="2"/>
  <c r="E85" i="2"/>
  <c r="F85" i="2"/>
  <c r="G85" i="2"/>
  <c r="H85" i="2"/>
  <c r="E86" i="2"/>
  <c r="F86" i="2"/>
  <c r="G86" i="2"/>
  <c r="H86" i="2"/>
  <c r="E87" i="2"/>
  <c r="F87" i="2"/>
  <c r="G87" i="2"/>
  <c r="H87" i="2"/>
  <c r="E88" i="2"/>
  <c r="F88" i="2"/>
  <c r="G88" i="2"/>
  <c r="H88" i="2"/>
  <c r="E89" i="2"/>
  <c r="F89" i="2"/>
  <c r="G89" i="2"/>
  <c r="H89" i="2"/>
  <c r="E90" i="2"/>
  <c r="F90" i="2"/>
  <c r="G90" i="2"/>
  <c r="H90" i="2"/>
  <c r="E91" i="2"/>
  <c r="F91" i="2"/>
  <c r="G91" i="2"/>
  <c r="H91" i="2"/>
  <c r="E92" i="2"/>
  <c r="F92" i="2"/>
  <c r="G92" i="2"/>
  <c r="H92" i="2"/>
  <c r="E93" i="2"/>
  <c r="F93" i="2"/>
  <c r="G93" i="2"/>
  <c r="H93" i="2"/>
  <c r="E94" i="2"/>
  <c r="F94" i="2"/>
  <c r="G94" i="2"/>
  <c r="H94" i="2"/>
  <c r="E95" i="2"/>
  <c r="F95" i="2"/>
  <c r="G95" i="2"/>
  <c r="H95" i="2"/>
  <c r="E96" i="2"/>
  <c r="F96" i="2"/>
  <c r="G96" i="2"/>
  <c r="H96" i="2"/>
  <c r="E97" i="2"/>
  <c r="F97" i="2"/>
  <c r="G97" i="2"/>
  <c r="H97" i="2"/>
  <c r="E98" i="2"/>
  <c r="F98" i="2"/>
  <c r="G98" i="2"/>
  <c r="H98" i="2"/>
  <c r="E99" i="2"/>
  <c r="F99" i="2"/>
  <c r="G99" i="2"/>
  <c r="H99" i="2"/>
  <c r="E100" i="2"/>
  <c r="F100" i="2"/>
  <c r="G100" i="2"/>
  <c r="H100" i="2"/>
  <c r="E101" i="2"/>
  <c r="F101" i="2"/>
  <c r="G101" i="2"/>
  <c r="H101" i="2"/>
  <c r="E102" i="2"/>
  <c r="F102" i="2"/>
  <c r="G102" i="2"/>
  <c r="H102" i="2"/>
  <c r="E103" i="2"/>
  <c r="F103" i="2"/>
  <c r="G103" i="2"/>
  <c r="H103" i="2"/>
  <c r="E104" i="2"/>
  <c r="F104" i="2"/>
  <c r="G104" i="2"/>
  <c r="H104" i="2"/>
  <c r="E105" i="2"/>
  <c r="F105" i="2"/>
  <c r="G105" i="2"/>
  <c r="H105" i="2"/>
  <c r="E106" i="2"/>
  <c r="F106" i="2"/>
  <c r="G106" i="2"/>
  <c r="H106" i="2"/>
  <c r="E107" i="2"/>
  <c r="F107" i="2"/>
  <c r="G107" i="2"/>
  <c r="H107" i="2"/>
  <c r="E108" i="2"/>
  <c r="F108" i="2"/>
  <c r="G108" i="2"/>
  <c r="H108" i="2"/>
  <c r="E109" i="2"/>
  <c r="F109" i="2"/>
  <c r="G109" i="2"/>
  <c r="H109" i="2"/>
  <c r="E110" i="2"/>
  <c r="F110" i="2"/>
  <c r="G110" i="2"/>
  <c r="H110" i="2"/>
  <c r="E111" i="2"/>
  <c r="F111" i="2"/>
  <c r="G111" i="2"/>
  <c r="H111" i="2"/>
  <c r="E112" i="2"/>
  <c r="F112" i="2"/>
  <c r="G112" i="2"/>
  <c r="H112" i="2"/>
  <c r="E113" i="2"/>
  <c r="F113" i="2"/>
  <c r="G113" i="2"/>
  <c r="H113" i="2"/>
  <c r="E114" i="2"/>
  <c r="F114" i="2"/>
  <c r="G114" i="2"/>
  <c r="H114" i="2"/>
  <c r="E115" i="2"/>
  <c r="F115" i="2"/>
  <c r="G115" i="2"/>
  <c r="H115" i="2"/>
  <c r="E116" i="2"/>
  <c r="F116" i="2"/>
  <c r="G116" i="2"/>
  <c r="H116" i="2"/>
  <c r="E117" i="2"/>
  <c r="F117" i="2"/>
  <c r="G117" i="2"/>
  <c r="H117" i="2"/>
  <c r="E118" i="2"/>
  <c r="F118" i="2"/>
  <c r="G118" i="2"/>
  <c r="H118" i="2"/>
  <c r="E119" i="2"/>
  <c r="F119" i="2"/>
  <c r="G119" i="2"/>
  <c r="H119" i="2"/>
  <c r="E120" i="2"/>
  <c r="F120" i="2"/>
  <c r="G120" i="2"/>
  <c r="H120" i="2"/>
  <c r="E121" i="2"/>
  <c r="F121" i="2"/>
  <c r="G121" i="2"/>
  <c r="H121" i="2"/>
  <c r="E122" i="2"/>
  <c r="F122" i="2"/>
  <c r="G122" i="2"/>
  <c r="H122" i="2"/>
  <c r="E123" i="2"/>
  <c r="F123" i="2"/>
  <c r="G123" i="2"/>
  <c r="H123" i="2"/>
  <c r="E124" i="2"/>
  <c r="F124" i="2"/>
  <c r="G124" i="2"/>
  <c r="H124" i="2"/>
  <c r="E125" i="2"/>
  <c r="F125" i="2"/>
  <c r="G125" i="2"/>
  <c r="H125" i="2"/>
  <c r="E126" i="2"/>
  <c r="F126" i="2"/>
  <c r="G126" i="2"/>
  <c r="H126" i="2"/>
  <c r="E127" i="2"/>
  <c r="F127" i="2"/>
  <c r="G127" i="2"/>
  <c r="H127" i="2"/>
  <c r="E128" i="2"/>
  <c r="F128" i="2"/>
  <c r="G128" i="2"/>
  <c r="H128" i="2"/>
  <c r="E129" i="2"/>
  <c r="F129" i="2"/>
  <c r="G129" i="2"/>
  <c r="H129" i="2"/>
  <c r="E130" i="2"/>
  <c r="F130" i="2"/>
  <c r="G130" i="2"/>
  <c r="H130" i="2"/>
  <c r="E131" i="2"/>
  <c r="F131" i="2"/>
  <c r="G131" i="2"/>
  <c r="H131" i="2"/>
  <c r="E132" i="2"/>
  <c r="F132" i="2"/>
  <c r="G132" i="2"/>
  <c r="H132" i="2"/>
  <c r="E133" i="2"/>
  <c r="F133" i="2"/>
  <c r="G133" i="2"/>
  <c r="H133" i="2"/>
  <c r="E134" i="2"/>
  <c r="F134" i="2"/>
  <c r="G134" i="2"/>
  <c r="H134" i="2"/>
  <c r="E135" i="2"/>
  <c r="F135" i="2"/>
  <c r="G135" i="2"/>
  <c r="H135" i="2"/>
  <c r="E136" i="2"/>
  <c r="F136" i="2"/>
  <c r="G136" i="2"/>
  <c r="H136" i="2"/>
  <c r="E137" i="2"/>
  <c r="F137" i="2"/>
  <c r="G137" i="2"/>
  <c r="H137" i="2"/>
  <c r="E138" i="2"/>
  <c r="F138" i="2"/>
  <c r="G138" i="2"/>
  <c r="H138" i="2"/>
  <c r="E139" i="2"/>
  <c r="F139" i="2"/>
  <c r="G139" i="2"/>
  <c r="H139" i="2"/>
  <c r="E140" i="2"/>
  <c r="F140" i="2"/>
  <c r="G140" i="2"/>
  <c r="H140" i="2"/>
  <c r="E141" i="2"/>
  <c r="F141" i="2"/>
  <c r="G141" i="2"/>
  <c r="H141" i="2"/>
  <c r="E142" i="2"/>
  <c r="F142" i="2"/>
  <c r="G142" i="2"/>
  <c r="H142" i="2"/>
  <c r="E143" i="2"/>
  <c r="F143" i="2"/>
  <c r="G143" i="2"/>
  <c r="H143" i="2"/>
  <c r="E144" i="2"/>
  <c r="F144" i="2"/>
  <c r="G144" i="2"/>
  <c r="H144" i="2"/>
  <c r="E145" i="2"/>
  <c r="F145" i="2"/>
  <c r="G145" i="2"/>
  <c r="H145" i="2"/>
  <c r="E146" i="2"/>
  <c r="F146" i="2"/>
  <c r="G146" i="2"/>
  <c r="H146" i="2"/>
  <c r="E147" i="2"/>
  <c r="F147" i="2"/>
  <c r="G147" i="2"/>
  <c r="H147" i="2"/>
  <c r="E148" i="2"/>
  <c r="F148" i="2"/>
  <c r="G148" i="2"/>
  <c r="H148" i="2"/>
  <c r="E149" i="2"/>
  <c r="F149" i="2"/>
  <c r="G149" i="2"/>
  <c r="H149" i="2"/>
  <c r="E150" i="2"/>
  <c r="F150" i="2"/>
  <c r="G150" i="2"/>
  <c r="H150" i="2"/>
  <c r="E151" i="2"/>
  <c r="F151" i="2"/>
  <c r="G151" i="2"/>
  <c r="H151" i="2"/>
  <c r="E152" i="2"/>
  <c r="F152" i="2"/>
  <c r="G152" i="2"/>
  <c r="H152" i="2"/>
  <c r="E153" i="2"/>
  <c r="F153" i="2"/>
  <c r="G153" i="2"/>
  <c r="H153" i="2"/>
  <c r="E154" i="2"/>
  <c r="F154" i="2"/>
  <c r="G154" i="2"/>
  <c r="H154" i="2"/>
  <c r="E155" i="2"/>
  <c r="F155" i="2"/>
  <c r="G155" i="2"/>
  <c r="H155" i="2"/>
  <c r="E156" i="2"/>
  <c r="F156" i="2"/>
  <c r="G156" i="2"/>
  <c r="H156" i="2"/>
  <c r="E157" i="2"/>
  <c r="F157" i="2"/>
  <c r="G157" i="2"/>
  <c r="H157" i="2"/>
  <c r="E158" i="2"/>
  <c r="F158" i="2"/>
  <c r="G158" i="2"/>
  <c r="H158" i="2"/>
  <c r="E159" i="2"/>
  <c r="F159" i="2"/>
  <c r="G159" i="2"/>
  <c r="H159" i="2"/>
  <c r="E160" i="2"/>
  <c r="F160" i="2"/>
  <c r="G160" i="2"/>
  <c r="H160" i="2"/>
  <c r="E161" i="2"/>
  <c r="F161" i="2"/>
  <c r="G161" i="2"/>
  <c r="H161" i="2"/>
  <c r="E162" i="2"/>
  <c r="F162" i="2"/>
  <c r="G162" i="2"/>
  <c r="H162" i="2"/>
  <c r="E163" i="2"/>
  <c r="F163" i="2"/>
  <c r="G163" i="2"/>
  <c r="H163" i="2"/>
  <c r="E164" i="2"/>
  <c r="F164" i="2"/>
  <c r="G164" i="2"/>
  <c r="H164" i="2"/>
  <c r="E165" i="2"/>
  <c r="F165" i="2"/>
  <c r="G165" i="2"/>
  <c r="H165" i="2"/>
  <c r="E166" i="2"/>
  <c r="F166" i="2"/>
  <c r="G166" i="2"/>
  <c r="H166" i="2"/>
  <c r="E167" i="2"/>
  <c r="F167" i="2"/>
  <c r="G167" i="2"/>
  <c r="H167" i="2"/>
  <c r="E168" i="2"/>
  <c r="F168" i="2"/>
  <c r="G168" i="2"/>
  <c r="H168" i="2"/>
  <c r="E169" i="2"/>
  <c r="F169" i="2"/>
  <c r="G169" i="2"/>
  <c r="H169" i="2"/>
  <c r="E170" i="2"/>
  <c r="F170" i="2"/>
  <c r="G170" i="2"/>
  <c r="H170" i="2"/>
  <c r="E171" i="2"/>
  <c r="F171" i="2"/>
  <c r="G171" i="2"/>
  <c r="H171" i="2"/>
  <c r="E172" i="2"/>
  <c r="F172" i="2"/>
  <c r="G172" i="2"/>
  <c r="H172" i="2"/>
  <c r="E173" i="2"/>
  <c r="F173" i="2"/>
  <c r="G173" i="2"/>
  <c r="H173" i="2"/>
  <c r="E174" i="2"/>
  <c r="F174" i="2"/>
  <c r="G174" i="2"/>
  <c r="H174" i="2"/>
  <c r="E175" i="2"/>
  <c r="F175" i="2"/>
  <c r="G175" i="2"/>
  <c r="H175" i="2"/>
  <c r="E176" i="2"/>
  <c r="F176" i="2"/>
  <c r="G176" i="2"/>
  <c r="H176" i="2"/>
  <c r="E177" i="2"/>
  <c r="F177" i="2"/>
  <c r="G177" i="2"/>
  <c r="H177" i="2"/>
  <c r="E178" i="2"/>
  <c r="F178" i="2"/>
  <c r="G178" i="2"/>
  <c r="H178" i="2"/>
  <c r="E179" i="2"/>
  <c r="F179" i="2"/>
  <c r="G179" i="2"/>
  <c r="H179" i="2"/>
  <c r="E180" i="2"/>
  <c r="F180" i="2"/>
  <c r="G180" i="2"/>
  <c r="H180" i="2"/>
  <c r="E181" i="2"/>
  <c r="F181" i="2"/>
  <c r="G181" i="2"/>
  <c r="H181" i="2"/>
  <c r="E182" i="2"/>
  <c r="F182" i="2"/>
  <c r="G182" i="2"/>
  <c r="H182" i="2"/>
  <c r="E183" i="2"/>
  <c r="F183" i="2"/>
  <c r="G183" i="2"/>
  <c r="H183" i="2"/>
  <c r="E184" i="2"/>
  <c r="F184" i="2"/>
  <c r="G184" i="2"/>
  <c r="H184" i="2"/>
  <c r="E185" i="2"/>
  <c r="F185" i="2"/>
  <c r="G185" i="2"/>
  <c r="H185" i="2"/>
  <c r="E186" i="2"/>
  <c r="F186" i="2"/>
  <c r="G186" i="2"/>
  <c r="H186" i="2"/>
  <c r="E187" i="2"/>
  <c r="F187" i="2"/>
  <c r="G187" i="2"/>
  <c r="H187" i="2"/>
  <c r="E188" i="2"/>
  <c r="F188" i="2"/>
  <c r="G188" i="2"/>
  <c r="H188" i="2"/>
  <c r="E189" i="2"/>
  <c r="F189" i="2"/>
  <c r="G189" i="2"/>
  <c r="H189" i="2"/>
  <c r="E190" i="2"/>
  <c r="F190" i="2"/>
  <c r="G190" i="2"/>
  <c r="H190" i="2"/>
  <c r="E191" i="2"/>
  <c r="F191" i="2"/>
  <c r="G191" i="2"/>
  <c r="H191" i="2"/>
  <c r="E192" i="2"/>
  <c r="F192" i="2"/>
  <c r="G192" i="2"/>
  <c r="H192" i="2"/>
  <c r="E193" i="2"/>
  <c r="F193" i="2"/>
  <c r="G193" i="2"/>
  <c r="H193" i="2"/>
  <c r="E194" i="2"/>
  <c r="F194" i="2"/>
  <c r="G194" i="2"/>
  <c r="H194" i="2"/>
  <c r="E195" i="2"/>
  <c r="F195" i="2"/>
  <c r="G195" i="2"/>
  <c r="H195" i="2"/>
  <c r="E196" i="2"/>
  <c r="F196" i="2"/>
  <c r="G196" i="2"/>
  <c r="H196" i="2"/>
  <c r="E197" i="2"/>
  <c r="F197" i="2"/>
  <c r="G197" i="2"/>
  <c r="H197" i="2"/>
  <c r="E198" i="2"/>
  <c r="F198" i="2"/>
  <c r="G198" i="2"/>
  <c r="H198" i="2"/>
  <c r="E199" i="2"/>
  <c r="F199" i="2"/>
  <c r="G199" i="2"/>
  <c r="H199" i="2"/>
  <c r="E200" i="2"/>
  <c r="F200" i="2"/>
  <c r="G200" i="2"/>
  <c r="H200" i="2"/>
  <c r="E201" i="2"/>
  <c r="F201" i="2"/>
  <c r="G201" i="2"/>
  <c r="H201" i="2"/>
  <c r="E202" i="2"/>
  <c r="F202" i="2"/>
  <c r="G202" i="2"/>
  <c r="H202" i="2"/>
  <c r="E203" i="2"/>
  <c r="F203" i="2"/>
  <c r="G203" i="2"/>
  <c r="H203" i="2"/>
  <c r="E204" i="2"/>
  <c r="F204" i="2"/>
  <c r="G204" i="2"/>
  <c r="H204" i="2"/>
  <c r="E205" i="2"/>
  <c r="F205" i="2"/>
  <c r="G205" i="2"/>
  <c r="H205" i="2"/>
  <c r="E206" i="2"/>
  <c r="F206" i="2"/>
  <c r="G206" i="2"/>
  <c r="H206" i="2"/>
  <c r="E207" i="2"/>
  <c r="F207" i="2"/>
  <c r="G207" i="2"/>
  <c r="H207" i="2"/>
  <c r="E208" i="2"/>
  <c r="F208" i="2"/>
  <c r="G208" i="2"/>
  <c r="H208" i="2"/>
  <c r="E209" i="2"/>
  <c r="F209" i="2"/>
  <c r="G209" i="2"/>
  <c r="H209" i="2"/>
  <c r="E210" i="2"/>
  <c r="F210" i="2"/>
  <c r="G210" i="2"/>
  <c r="H210" i="2"/>
  <c r="E211" i="2"/>
  <c r="F211" i="2"/>
  <c r="G211" i="2"/>
  <c r="H211" i="2"/>
  <c r="E212" i="2"/>
  <c r="F212" i="2"/>
  <c r="G212" i="2"/>
  <c r="H212" i="2"/>
  <c r="E213" i="2"/>
  <c r="F213" i="2"/>
  <c r="G213" i="2"/>
  <c r="H213" i="2"/>
  <c r="E214" i="2"/>
  <c r="F214" i="2"/>
  <c r="G214" i="2"/>
  <c r="H214" i="2"/>
  <c r="E215" i="2"/>
  <c r="F215" i="2"/>
  <c r="G215" i="2"/>
  <c r="H215" i="2"/>
  <c r="E216" i="2"/>
  <c r="F216" i="2"/>
  <c r="G216" i="2"/>
  <c r="H216" i="2"/>
  <c r="E217" i="2"/>
  <c r="F217" i="2"/>
  <c r="G217" i="2"/>
  <c r="H217" i="2"/>
  <c r="E218" i="2"/>
  <c r="F218" i="2"/>
  <c r="G218" i="2"/>
  <c r="H218" i="2"/>
  <c r="E219" i="2"/>
  <c r="F219" i="2"/>
  <c r="G219" i="2"/>
  <c r="H219" i="2"/>
  <c r="E220" i="2"/>
  <c r="F220" i="2"/>
  <c r="G220" i="2"/>
  <c r="H220" i="2"/>
  <c r="E221" i="2"/>
  <c r="F221" i="2"/>
  <c r="G221" i="2"/>
  <c r="H221" i="2"/>
  <c r="E222" i="2"/>
  <c r="F222" i="2"/>
  <c r="G222" i="2"/>
  <c r="H222" i="2"/>
  <c r="E223" i="2"/>
  <c r="F223" i="2"/>
  <c r="G223" i="2"/>
  <c r="H223" i="2"/>
  <c r="E224" i="2"/>
  <c r="F224" i="2"/>
  <c r="G224" i="2"/>
  <c r="H224" i="2"/>
  <c r="E225" i="2"/>
  <c r="F225" i="2"/>
  <c r="G225" i="2"/>
  <c r="H225" i="2"/>
  <c r="E226" i="2"/>
  <c r="F226" i="2"/>
  <c r="G226" i="2"/>
  <c r="H226" i="2"/>
  <c r="E227" i="2"/>
  <c r="F227" i="2"/>
  <c r="G227" i="2"/>
  <c r="H227" i="2"/>
  <c r="E228" i="2"/>
  <c r="F228" i="2"/>
  <c r="G228" i="2"/>
  <c r="H228" i="2"/>
  <c r="E229" i="2"/>
  <c r="F229" i="2"/>
  <c r="G229" i="2"/>
  <c r="H229" i="2"/>
  <c r="E230" i="2"/>
  <c r="F230" i="2"/>
  <c r="G230" i="2"/>
  <c r="H230" i="2"/>
  <c r="E231" i="2"/>
  <c r="F231" i="2"/>
  <c r="G231" i="2"/>
  <c r="H231" i="2"/>
  <c r="E232" i="2"/>
  <c r="F232" i="2"/>
  <c r="G232" i="2"/>
  <c r="H232" i="2"/>
  <c r="E233" i="2"/>
  <c r="F233" i="2"/>
  <c r="G233" i="2"/>
  <c r="H233" i="2"/>
  <c r="E234" i="2"/>
  <c r="F234" i="2"/>
  <c r="G234" i="2"/>
  <c r="H234" i="2"/>
  <c r="E235" i="2"/>
  <c r="F235" i="2"/>
  <c r="G235" i="2"/>
  <c r="H235" i="2"/>
  <c r="E236" i="2"/>
  <c r="F236" i="2"/>
  <c r="G236" i="2"/>
  <c r="H236" i="2"/>
  <c r="E237" i="2"/>
  <c r="F237" i="2"/>
  <c r="G237" i="2"/>
  <c r="H237" i="2"/>
  <c r="E238" i="2"/>
  <c r="F238" i="2"/>
  <c r="G238" i="2"/>
  <c r="H238" i="2"/>
  <c r="E239" i="2"/>
  <c r="F239" i="2"/>
  <c r="G239" i="2"/>
  <c r="H239" i="2"/>
  <c r="E240" i="2"/>
  <c r="F240" i="2"/>
  <c r="G240" i="2"/>
  <c r="H240" i="2"/>
  <c r="E241" i="2"/>
  <c r="F241" i="2"/>
  <c r="G241" i="2"/>
  <c r="H241" i="2"/>
  <c r="E242" i="2"/>
  <c r="F242" i="2"/>
  <c r="G242" i="2"/>
  <c r="H242" i="2"/>
  <c r="E243" i="2"/>
  <c r="F243" i="2"/>
  <c r="G243" i="2"/>
  <c r="H243" i="2"/>
  <c r="E244" i="2"/>
  <c r="F244" i="2"/>
  <c r="G244" i="2"/>
  <c r="H244" i="2"/>
  <c r="E245" i="2"/>
  <c r="F245" i="2"/>
  <c r="G245" i="2"/>
  <c r="H245" i="2"/>
  <c r="E246" i="2"/>
  <c r="F246" i="2"/>
  <c r="G246" i="2"/>
  <c r="H246" i="2"/>
  <c r="E247" i="2"/>
  <c r="F247" i="2"/>
  <c r="G247" i="2"/>
  <c r="H247" i="2"/>
  <c r="E248" i="2"/>
  <c r="F248" i="2"/>
  <c r="G248" i="2"/>
  <c r="H248" i="2"/>
  <c r="E249" i="2"/>
  <c r="F249" i="2"/>
  <c r="G249" i="2"/>
  <c r="H249" i="2"/>
  <c r="E250" i="2"/>
  <c r="F250" i="2"/>
  <c r="G250" i="2"/>
  <c r="H250" i="2"/>
  <c r="E251" i="2"/>
  <c r="F251" i="2"/>
  <c r="G251" i="2"/>
  <c r="H251" i="2"/>
  <c r="E252" i="2"/>
  <c r="F252" i="2"/>
  <c r="G252" i="2"/>
  <c r="H252" i="2"/>
  <c r="E253" i="2"/>
  <c r="F253" i="2"/>
  <c r="G253" i="2"/>
  <c r="H253" i="2"/>
  <c r="E254" i="2"/>
  <c r="F254" i="2"/>
  <c r="G254" i="2"/>
  <c r="H254" i="2"/>
  <c r="E255" i="2"/>
  <c r="F255" i="2"/>
  <c r="G255" i="2"/>
  <c r="H255" i="2"/>
  <c r="E256" i="2"/>
  <c r="F256" i="2"/>
  <c r="G256" i="2"/>
  <c r="H256" i="2"/>
  <c r="E257" i="2"/>
  <c r="F257" i="2"/>
  <c r="G257" i="2"/>
  <c r="H257" i="2"/>
  <c r="E258" i="2"/>
  <c r="F258" i="2"/>
  <c r="G258" i="2"/>
  <c r="H258" i="2"/>
  <c r="E259" i="2"/>
  <c r="F259" i="2"/>
  <c r="G259" i="2"/>
  <c r="H259" i="2"/>
  <c r="E260" i="2"/>
  <c r="F260" i="2"/>
  <c r="G260" i="2"/>
  <c r="H260" i="2"/>
  <c r="E261" i="2"/>
  <c r="F261" i="2"/>
  <c r="G261" i="2"/>
  <c r="H261" i="2"/>
  <c r="E262" i="2"/>
  <c r="F262" i="2"/>
  <c r="G262" i="2"/>
  <c r="H262" i="2"/>
  <c r="E263" i="2"/>
  <c r="F263" i="2"/>
  <c r="G263" i="2"/>
  <c r="H263" i="2"/>
  <c r="E264" i="2"/>
  <c r="F264" i="2"/>
  <c r="G264" i="2"/>
  <c r="H264" i="2"/>
  <c r="E265" i="2"/>
  <c r="F265" i="2"/>
  <c r="G265" i="2"/>
  <c r="H265" i="2"/>
  <c r="E266" i="2"/>
  <c r="F266" i="2"/>
  <c r="G266" i="2"/>
  <c r="H266" i="2"/>
  <c r="E267" i="2"/>
  <c r="F267" i="2"/>
  <c r="G267" i="2"/>
  <c r="H267" i="2"/>
  <c r="E268" i="2"/>
  <c r="F268" i="2"/>
  <c r="G268" i="2"/>
  <c r="H268" i="2"/>
  <c r="E269" i="2"/>
  <c r="F269" i="2"/>
  <c r="G269" i="2"/>
  <c r="H269" i="2"/>
  <c r="E270" i="2"/>
  <c r="F270" i="2"/>
  <c r="G270" i="2"/>
  <c r="H270" i="2"/>
  <c r="E271" i="2"/>
  <c r="F271" i="2"/>
  <c r="G271" i="2"/>
  <c r="H271" i="2"/>
  <c r="E272" i="2"/>
  <c r="F272" i="2"/>
  <c r="G272" i="2"/>
  <c r="H272" i="2"/>
  <c r="E273" i="2"/>
  <c r="F273" i="2"/>
  <c r="G273" i="2"/>
  <c r="H273" i="2"/>
  <c r="E274" i="2"/>
  <c r="F274" i="2"/>
  <c r="G274" i="2"/>
  <c r="H274" i="2"/>
  <c r="E275" i="2"/>
  <c r="F275" i="2"/>
  <c r="G275" i="2"/>
  <c r="H275" i="2"/>
  <c r="E276" i="2"/>
  <c r="F276" i="2"/>
  <c r="G276" i="2"/>
  <c r="H276" i="2"/>
  <c r="E277" i="2"/>
  <c r="F277" i="2"/>
  <c r="G277" i="2"/>
  <c r="H277" i="2"/>
  <c r="E278" i="2"/>
  <c r="F278" i="2"/>
  <c r="G278" i="2"/>
  <c r="H278" i="2"/>
  <c r="E279" i="2"/>
  <c r="F279" i="2"/>
  <c r="G279" i="2"/>
  <c r="H279" i="2"/>
  <c r="E280" i="2"/>
  <c r="F280" i="2"/>
  <c r="G280" i="2"/>
  <c r="H280" i="2"/>
  <c r="E281" i="2"/>
  <c r="F281" i="2"/>
  <c r="G281" i="2"/>
  <c r="H281" i="2"/>
  <c r="E282" i="2"/>
  <c r="F282" i="2"/>
  <c r="G282" i="2"/>
  <c r="H282" i="2"/>
  <c r="E283" i="2"/>
  <c r="F283" i="2"/>
  <c r="G283" i="2"/>
  <c r="H283" i="2"/>
  <c r="E284" i="2"/>
  <c r="F284" i="2"/>
  <c r="G284" i="2"/>
  <c r="H284" i="2"/>
  <c r="E285" i="2"/>
  <c r="F285" i="2"/>
  <c r="G285" i="2"/>
  <c r="H285" i="2"/>
  <c r="E286" i="2"/>
  <c r="F286" i="2"/>
  <c r="G286" i="2"/>
  <c r="H286" i="2"/>
  <c r="E287" i="2"/>
  <c r="F287" i="2"/>
  <c r="G287" i="2"/>
  <c r="H287" i="2"/>
  <c r="E288" i="2"/>
  <c r="F288" i="2"/>
  <c r="G288" i="2"/>
  <c r="H288" i="2"/>
  <c r="E289" i="2"/>
  <c r="F289" i="2"/>
  <c r="G289" i="2"/>
  <c r="H289" i="2"/>
  <c r="E290" i="2"/>
  <c r="F290" i="2"/>
  <c r="G290" i="2"/>
  <c r="H290" i="2"/>
  <c r="E291" i="2"/>
  <c r="F291" i="2"/>
  <c r="G291" i="2"/>
  <c r="H291" i="2"/>
  <c r="E292" i="2"/>
  <c r="F292" i="2"/>
  <c r="G292" i="2"/>
  <c r="H292" i="2"/>
  <c r="E293" i="2"/>
  <c r="F293" i="2"/>
  <c r="G293" i="2"/>
  <c r="H293" i="2"/>
  <c r="E294" i="2"/>
  <c r="F294" i="2"/>
  <c r="G294" i="2"/>
  <c r="H294" i="2"/>
  <c r="E295" i="2"/>
  <c r="F295" i="2"/>
  <c r="G295" i="2"/>
  <c r="H295" i="2"/>
  <c r="E296" i="2"/>
  <c r="F296" i="2"/>
  <c r="G296" i="2"/>
  <c r="H296" i="2"/>
  <c r="E297" i="2"/>
  <c r="F297" i="2"/>
  <c r="G297" i="2"/>
  <c r="H297" i="2"/>
  <c r="E298" i="2"/>
  <c r="F298" i="2"/>
  <c r="G298" i="2"/>
  <c r="H298" i="2"/>
  <c r="E299" i="2"/>
  <c r="F299" i="2"/>
  <c r="G299" i="2"/>
  <c r="H299" i="2"/>
  <c r="E300" i="2"/>
  <c r="F300" i="2"/>
  <c r="G300" i="2"/>
  <c r="H300" i="2"/>
  <c r="E301" i="2"/>
  <c r="F301" i="2"/>
  <c r="G301" i="2"/>
  <c r="H301" i="2"/>
  <c r="E302" i="2"/>
  <c r="F302" i="2"/>
  <c r="G302" i="2"/>
  <c r="H302" i="2"/>
  <c r="E303" i="2"/>
  <c r="F303" i="2"/>
  <c r="G303" i="2"/>
  <c r="H303" i="2"/>
  <c r="E304" i="2"/>
  <c r="F304" i="2"/>
  <c r="G304" i="2"/>
  <c r="H304" i="2"/>
  <c r="E305" i="2"/>
  <c r="F305" i="2"/>
  <c r="G305" i="2"/>
  <c r="H305" i="2"/>
  <c r="E306" i="2"/>
  <c r="F306" i="2"/>
  <c r="G306" i="2"/>
  <c r="H306" i="2"/>
  <c r="E307" i="2"/>
  <c r="F307" i="2"/>
  <c r="G307" i="2"/>
  <c r="H307" i="2"/>
  <c r="E308" i="2"/>
  <c r="F308" i="2"/>
  <c r="G308" i="2"/>
  <c r="H308" i="2"/>
  <c r="E309" i="2"/>
  <c r="F309" i="2"/>
  <c r="G309" i="2"/>
  <c r="H309" i="2"/>
  <c r="E310" i="2"/>
  <c r="F310" i="2"/>
  <c r="G310" i="2"/>
  <c r="H310" i="2"/>
  <c r="E311" i="2"/>
  <c r="F311" i="2"/>
  <c r="G311" i="2"/>
  <c r="H311" i="2"/>
  <c r="E312" i="2"/>
  <c r="F312" i="2"/>
  <c r="G312" i="2"/>
  <c r="H312" i="2"/>
  <c r="E313" i="2"/>
  <c r="F313" i="2"/>
  <c r="G313" i="2"/>
  <c r="H313" i="2"/>
  <c r="E314" i="2"/>
  <c r="F314" i="2"/>
  <c r="G314" i="2"/>
  <c r="H314" i="2"/>
  <c r="E315" i="2"/>
  <c r="F315" i="2"/>
  <c r="G315" i="2"/>
  <c r="H315" i="2"/>
  <c r="E316" i="2"/>
  <c r="F316" i="2"/>
  <c r="G316" i="2"/>
  <c r="H316" i="2"/>
  <c r="E317" i="2"/>
  <c r="F317" i="2"/>
  <c r="G317" i="2"/>
  <c r="H317" i="2"/>
  <c r="E318" i="2"/>
  <c r="F318" i="2"/>
  <c r="G318" i="2"/>
  <c r="H318" i="2"/>
  <c r="E319" i="2"/>
  <c r="F319" i="2"/>
  <c r="G319" i="2"/>
  <c r="H319" i="2"/>
  <c r="E320" i="2"/>
  <c r="F320" i="2"/>
  <c r="G320" i="2"/>
  <c r="H320" i="2"/>
  <c r="E321" i="2"/>
  <c r="F321" i="2"/>
  <c r="G321" i="2"/>
  <c r="H321" i="2"/>
  <c r="E322" i="2"/>
  <c r="F322" i="2"/>
  <c r="G322" i="2"/>
  <c r="H322" i="2"/>
  <c r="E323" i="2"/>
  <c r="F323" i="2"/>
  <c r="G323" i="2"/>
  <c r="H323" i="2"/>
  <c r="E324" i="2"/>
  <c r="F324" i="2"/>
  <c r="G324" i="2"/>
  <c r="H324" i="2"/>
  <c r="E325" i="2"/>
  <c r="F325" i="2"/>
  <c r="G325" i="2"/>
  <c r="H325" i="2"/>
  <c r="E326" i="2"/>
  <c r="F326" i="2"/>
  <c r="G326" i="2"/>
  <c r="H326" i="2"/>
  <c r="E327" i="2"/>
  <c r="F327" i="2"/>
  <c r="G327" i="2"/>
  <c r="H327" i="2"/>
  <c r="E328" i="2"/>
  <c r="F328" i="2"/>
  <c r="G328" i="2"/>
  <c r="H328" i="2"/>
  <c r="E329" i="2"/>
  <c r="F329" i="2"/>
  <c r="G329" i="2"/>
  <c r="H329" i="2"/>
  <c r="E330" i="2"/>
  <c r="F330" i="2"/>
  <c r="G330" i="2"/>
  <c r="H330" i="2"/>
  <c r="E331" i="2"/>
  <c r="F331" i="2"/>
  <c r="G331" i="2"/>
  <c r="H331" i="2"/>
  <c r="E332" i="2"/>
  <c r="F332" i="2"/>
  <c r="G332" i="2"/>
  <c r="H332" i="2"/>
  <c r="E333" i="2"/>
  <c r="F333" i="2"/>
  <c r="G333" i="2"/>
  <c r="H333" i="2"/>
  <c r="E334" i="2"/>
  <c r="F334" i="2"/>
  <c r="G334" i="2"/>
  <c r="H334" i="2"/>
  <c r="E335" i="2"/>
  <c r="F335" i="2"/>
  <c r="G335" i="2"/>
  <c r="H335" i="2"/>
  <c r="E336" i="2"/>
  <c r="F336" i="2"/>
  <c r="G336" i="2"/>
  <c r="H336" i="2"/>
  <c r="E337" i="2"/>
  <c r="F337" i="2"/>
  <c r="G337" i="2"/>
  <c r="H337" i="2"/>
  <c r="E338" i="2"/>
  <c r="F338" i="2"/>
  <c r="G338" i="2"/>
  <c r="H338" i="2"/>
  <c r="E339" i="2"/>
  <c r="F339" i="2"/>
  <c r="G339" i="2"/>
  <c r="H339" i="2"/>
  <c r="E340" i="2"/>
  <c r="F340" i="2"/>
  <c r="G340" i="2"/>
  <c r="H340" i="2"/>
  <c r="E341" i="2"/>
  <c r="F341" i="2"/>
  <c r="G341" i="2"/>
  <c r="H341" i="2"/>
  <c r="E342" i="2"/>
  <c r="F342" i="2"/>
  <c r="G342" i="2"/>
  <c r="H342" i="2"/>
  <c r="E343" i="2"/>
  <c r="F343" i="2"/>
  <c r="G343" i="2"/>
  <c r="H343" i="2"/>
  <c r="E344" i="2"/>
  <c r="F344" i="2"/>
  <c r="G344" i="2"/>
  <c r="H344" i="2"/>
  <c r="E345" i="2"/>
  <c r="F345" i="2"/>
  <c r="G345" i="2"/>
  <c r="H345" i="2"/>
  <c r="E346" i="2"/>
  <c r="F346" i="2"/>
  <c r="G346" i="2"/>
  <c r="H346" i="2"/>
  <c r="E347" i="2"/>
  <c r="F347" i="2"/>
  <c r="G347" i="2"/>
  <c r="H347" i="2"/>
  <c r="E348" i="2"/>
  <c r="F348" i="2"/>
  <c r="G348" i="2"/>
  <c r="H348" i="2"/>
  <c r="E349" i="2"/>
  <c r="F349" i="2"/>
  <c r="G349" i="2"/>
  <c r="H349" i="2"/>
  <c r="E350" i="2"/>
  <c r="F350" i="2"/>
  <c r="G350" i="2"/>
  <c r="H350" i="2"/>
  <c r="E351" i="2"/>
  <c r="F351" i="2"/>
  <c r="G351" i="2"/>
  <c r="H351" i="2"/>
  <c r="E352" i="2"/>
  <c r="F352" i="2"/>
  <c r="G352" i="2"/>
  <c r="H352" i="2"/>
  <c r="E353" i="2"/>
  <c r="F353" i="2"/>
  <c r="G353" i="2"/>
  <c r="H353" i="2"/>
  <c r="E354" i="2"/>
  <c r="F354" i="2"/>
  <c r="G354" i="2"/>
  <c r="H354" i="2"/>
  <c r="E355" i="2"/>
  <c r="F355" i="2"/>
  <c r="G355" i="2"/>
  <c r="H355" i="2"/>
  <c r="E356" i="2"/>
  <c r="F356" i="2"/>
  <c r="G356" i="2"/>
  <c r="H356" i="2"/>
  <c r="E357" i="2"/>
  <c r="F357" i="2"/>
  <c r="G357" i="2"/>
  <c r="H357" i="2"/>
  <c r="E358" i="2"/>
  <c r="F358" i="2"/>
  <c r="G358" i="2"/>
  <c r="H358" i="2"/>
  <c r="E359" i="2"/>
  <c r="F359" i="2"/>
  <c r="G359" i="2"/>
  <c r="H359" i="2"/>
  <c r="E360" i="2"/>
  <c r="F360" i="2"/>
  <c r="G360" i="2"/>
  <c r="H360" i="2"/>
  <c r="E361" i="2"/>
  <c r="F361" i="2"/>
  <c r="G361" i="2"/>
  <c r="H361" i="2"/>
  <c r="E362" i="2"/>
  <c r="F362" i="2"/>
  <c r="G362" i="2"/>
  <c r="H362" i="2"/>
  <c r="E363" i="2"/>
  <c r="F363" i="2"/>
  <c r="G363" i="2"/>
  <c r="H363" i="2"/>
  <c r="E364" i="2"/>
  <c r="F364" i="2"/>
  <c r="G364" i="2"/>
  <c r="H364" i="2"/>
  <c r="E365" i="2"/>
  <c r="F365" i="2"/>
  <c r="G365" i="2"/>
  <c r="H365" i="2"/>
  <c r="E366" i="2"/>
  <c r="F366" i="2"/>
  <c r="G366" i="2"/>
  <c r="H366" i="2"/>
  <c r="E367" i="2"/>
  <c r="F367" i="2"/>
  <c r="G367" i="2"/>
  <c r="H367" i="2"/>
  <c r="E368" i="2"/>
  <c r="F368" i="2"/>
  <c r="G368" i="2"/>
  <c r="H368" i="2"/>
  <c r="E369" i="2"/>
  <c r="F369" i="2"/>
  <c r="G369" i="2"/>
  <c r="H369" i="2"/>
  <c r="E370" i="2"/>
  <c r="F370" i="2"/>
  <c r="G370" i="2"/>
  <c r="H370" i="2"/>
  <c r="E371" i="2"/>
  <c r="F371" i="2"/>
  <c r="G371" i="2"/>
  <c r="H371" i="2"/>
  <c r="E372" i="2"/>
  <c r="F372" i="2"/>
  <c r="G372" i="2"/>
  <c r="H372" i="2"/>
  <c r="E373" i="2"/>
  <c r="F373" i="2"/>
  <c r="G373" i="2"/>
  <c r="H373" i="2"/>
  <c r="E374" i="2"/>
  <c r="F374" i="2"/>
  <c r="G374" i="2"/>
  <c r="H374" i="2"/>
  <c r="E375" i="2"/>
  <c r="F375" i="2"/>
  <c r="G375" i="2"/>
  <c r="H375" i="2"/>
  <c r="E376" i="2"/>
  <c r="F376" i="2"/>
  <c r="G376" i="2"/>
  <c r="H376" i="2"/>
  <c r="E377" i="2"/>
  <c r="F377" i="2"/>
  <c r="G377" i="2"/>
  <c r="H377" i="2"/>
  <c r="E378" i="2"/>
  <c r="F378" i="2"/>
  <c r="G378" i="2"/>
  <c r="H378" i="2"/>
  <c r="E379" i="2"/>
  <c r="F379" i="2"/>
  <c r="G379" i="2"/>
  <c r="H379" i="2"/>
  <c r="E380" i="2"/>
  <c r="F380" i="2"/>
  <c r="G380" i="2"/>
  <c r="H380" i="2"/>
  <c r="E381" i="2"/>
  <c r="F381" i="2"/>
  <c r="G381" i="2"/>
  <c r="H381" i="2"/>
  <c r="E382" i="2"/>
  <c r="F382" i="2"/>
  <c r="G382" i="2"/>
  <c r="H382" i="2"/>
  <c r="E383" i="2"/>
  <c r="F383" i="2"/>
  <c r="G383" i="2"/>
  <c r="H383" i="2"/>
  <c r="E384" i="2"/>
  <c r="F384" i="2"/>
  <c r="G384" i="2"/>
  <c r="H384" i="2"/>
  <c r="E385" i="2"/>
  <c r="F385" i="2"/>
  <c r="G385" i="2"/>
  <c r="H385" i="2"/>
  <c r="E386" i="2"/>
  <c r="F386" i="2"/>
  <c r="G386" i="2"/>
  <c r="H386" i="2"/>
  <c r="E387" i="2"/>
  <c r="F387" i="2"/>
  <c r="G387" i="2"/>
  <c r="H387" i="2"/>
  <c r="E388" i="2"/>
  <c r="F388" i="2"/>
  <c r="G388" i="2"/>
  <c r="H388" i="2"/>
  <c r="E389" i="2"/>
  <c r="F389" i="2"/>
  <c r="G389" i="2"/>
  <c r="H389" i="2"/>
  <c r="E390" i="2"/>
  <c r="F390" i="2"/>
  <c r="G390" i="2"/>
  <c r="H390" i="2"/>
  <c r="E391" i="2"/>
  <c r="F391" i="2"/>
  <c r="G391" i="2"/>
  <c r="H391" i="2"/>
  <c r="E392" i="2"/>
  <c r="F392" i="2"/>
  <c r="G392" i="2"/>
  <c r="H392" i="2"/>
  <c r="E393" i="2"/>
  <c r="F393" i="2"/>
  <c r="G393" i="2"/>
  <c r="H393" i="2"/>
  <c r="E394" i="2"/>
  <c r="F394" i="2"/>
  <c r="G394" i="2"/>
  <c r="H394" i="2"/>
  <c r="E395" i="2"/>
  <c r="F395" i="2"/>
  <c r="G395" i="2"/>
  <c r="H395" i="2"/>
  <c r="E396" i="2"/>
  <c r="F396" i="2"/>
  <c r="G396" i="2"/>
  <c r="H396" i="2"/>
  <c r="E397" i="2"/>
  <c r="F397" i="2"/>
  <c r="G397" i="2"/>
  <c r="H397" i="2"/>
  <c r="E398" i="2"/>
  <c r="F398" i="2"/>
  <c r="G398" i="2"/>
  <c r="H398" i="2"/>
  <c r="E399" i="2"/>
  <c r="F399" i="2"/>
  <c r="G399" i="2"/>
  <c r="H399" i="2"/>
  <c r="E400" i="2"/>
  <c r="F400" i="2"/>
  <c r="G400" i="2"/>
  <c r="H400" i="2"/>
  <c r="E401" i="2"/>
  <c r="F401" i="2"/>
  <c r="G401" i="2"/>
  <c r="H401" i="2"/>
  <c r="E402" i="2"/>
  <c r="F402" i="2"/>
  <c r="G402" i="2"/>
  <c r="H402" i="2"/>
  <c r="E403" i="2"/>
  <c r="F403" i="2"/>
  <c r="G403" i="2"/>
  <c r="H403" i="2"/>
  <c r="E404" i="2"/>
  <c r="F404" i="2"/>
  <c r="G404" i="2"/>
  <c r="H404" i="2"/>
  <c r="E405" i="2"/>
  <c r="F405" i="2"/>
  <c r="G405" i="2"/>
  <c r="H405" i="2"/>
  <c r="E406" i="2"/>
  <c r="F406" i="2"/>
  <c r="G406" i="2"/>
  <c r="H406" i="2"/>
  <c r="E407" i="2"/>
  <c r="F407" i="2"/>
  <c r="G407" i="2"/>
  <c r="H407" i="2"/>
  <c r="E408" i="2"/>
  <c r="F408" i="2"/>
  <c r="G408" i="2"/>
  <c r="H408" i="2"/>
  <c r="E409" i="2"/>
  <c r="F409" i="2"/>
  <c r="G409" i="2"/>
  <c r="H409" i="2"/>
  <c r="E410" i="2"/>
  <c r="F410" i="2"/>
  <c r="G410" i="2"/>
  <c r="H410" i="2"/>
  <c r="E411" i="2"/>
  <c r="F411" i="2"/>
  <c r="G411" i="2"/>
  <c r="H411" i="2"/>
  <c r="E412" i="2"/>
  <c r="F412" i="2"/>
  <c r="G412" i="2"/>
  <c r="H412" i="2"/>
  <c r="E413" i="2"/>
  <c r="F413" i="2"/>
  <c r="G413" i="2"/>
  <c r="H413" i="2"/>
  <c r="E414" i="2"/>
  <c r="F414" i="2"/>
  <c r="G414" i="2"/>
  <c r="H414" i="2"/>
  <c r="E415" i="2"/>
  <c r="F415" i="2"/>
  <c r="G415" i="2"/>
  <c r="H415" i="2"/>
  <c r="E416" i="2"/>
  <c r="F416" i="2"/>
  <c r="G416" i="2"/>
  <c r="H416" i="2"/>
  <c r="E417" i="2"/>
  <c r="F417" i="2"/>
  <c r="G417" i="2"/>
  <c r="H417" i="2"/>
  <c r="E418" i="2"/>
  <c r="F418" i="2"/>
  <c r="G418" i="2"/>
  <c r="H418" i="2"/>
  <c r="E419" i="2"/>
  <c r="F419" i="2"/>
  <c r="G419" i="2"/>
  <c r="H419" i="2"/>
  <c r="E420" i="2"/>
  <c r="F420" i="2"/>
  <c r="G420" i="2"/>
  <c r="H420" i="2"/>
  <c r="E421" i="2"/>
  <c r="F421" i="2"/>
  <c r="G421" i="2"/>
  <c r="H421" i="2"/>
  <c r="E422" i="2"/>
  <c r="F422" i="2"/>
  <c r="G422" i="2"/>
  <c r="H422" i="2"/>
  <c r="E423" i="2"/>
  <c r="F423" i="2"/>
  <c r="G423" i="2"/>
  <c r="H423" i="2"/>
  <c r="E424" i="2"/>
  <c r="F424" i="2"/>
  <c r="G424" i="2"/>
  <c r="H424" i="2"/>
  <c r="E425" i="2"/>
  <c r="F425" i="2"/>
  <c r="G425" i="2"/>
  <c r="H425" i="2"/>
  <c r="E426" i="2"/>
  <c r="F426" i="2"/>
  <c r="G426" i="2"/>
  <c r="H426" i="2"/>
  <c r="E427" i="2"/>
  <c r="F427" i="2"/>
  <c r="G427" i="2"/>
  <c r="H427" i="2"/>
  <c r="E428" i="2"/>
  <c r="F428" i="2"/>
  <c r="G428" i="2"/>
  <c r="H428" i="2"/>
  <c r="E429" i="2"/>
  <c r="F429" i="2"/>
  <c r="G429" i="2"/>
  <c r="H429" i="2"/>
  <c r="E430" i="2"/>
  <c r="F430" i="2"/>
  <c r="G430" i="2"/>
  <c r="H430" i="2"/>
  <c r="E431" i="2"/>
  <c r="F431" i="2"/>
  <c r="G431" i="2"/>
  <c r="H431" i="2"/>
  <c r="E432" i="2"/>
  <c r="F432" i="2"/>
  <c r="G432" i="2"/>
  <c r="H432" i="2"/>
  <c r="E433" i="2"/>
  <c r="F433" i="2"/>
  <c r="G433" i="2"/>
  <c r="H433" i="2"/>
  <c r="E434" i="2"/>
  <c r="F434" i="2"/>
  <c r="G434" i="2"/>
  <c r="H434" i="2"/>
  <c r="E435" i="2"/>
  <c r="F435" i="2"/>
  <c r="G435" i="2"/>
  <c r="H435" i="2"/>
  <c r="E436" i="2"/>
  <c r="F436" i="2"/>
  <c r="G436" i="2"/>
  <c r="H436" i="2"/>
  <c r="E437" i="2"/>
  <c r="F437" i="2"/>
  <c r="G437" i="2"/>
  <c r="H437" i="2"/>
  <c r="E438" i="2"/>
  <c r="F438" i="2"/>
  <c r="G438" i="2"/>
  <c r="H438" i="2"/>
  <c r="E439" i="2"/>
  <c r="F439" i="2"/>
  <c r="G439" i="2"/>
  <c r="H439" i="2"/>
  <c r="E440" i="2"/>
  <c r="F440" i="2"/>
  <c r="G440" i="2"/>
  <c r="H440" i="2"/>
  <c r="E441" i="2"/>
  <c r="F441" i="2"/>
  <c r="G441" i="2"/>
  <c r="H441" i="2"/>
  <c r="E442" i="2"/>
  <c r="F442" i="2"/>
  <c r="G442" i="2"/>
  <c r="H442" i="2"/>
  <c r="E443" i="2"/>
  <c r="F443" i="2"/>
  <c r="G443" i="2"/>
  <c r="H443" i="2"/>
  <c r="E444" i="2"/>
  <c r="F444" i="2"/>
  <c r="G444" i="2"/>
  <c r="H444" i="2"/>
  <c r="E445" i="2"/>
  <c r="F445" i="2"/>
  <c r="G445" i="2"/>
  <c r="H445" i="2"/>
  <c r="E446" i="2"/>
  <c r="F446" i="2"/>
  <c r="G446" i="2"/>
  <c r="H446" i="2"/>
  <c r="E447" i="2"/>
  <c r="F447" i="2"/>
  <c r="G447" i="2"/>
  <c r="H447" i="2"/>
  <c r="E448" i="2"/>
  <c r="F448" i="2"/>
  <c r="G448" i="2"/>
  <c r="H448" i="2"/>
  <c r="E449" i="2"/>
  <c r="F449" i="2"/>
  <c r="G449" i="2"/>
  <c r="H449" i="2"/>
  <c r="E450" i="2"/>
  <c r="F450" i="2"/>
  <c r="G450" i="2"/>
  <c r="H450" i="2"/>
  <c r="E451" i="2"/>
  <c r="F451" i="2"/>
  <c r="G451" i="2"/>
  <c r="H451" i="2"/>
  <c r="E452" i="2"/>
  <c r="F452" i="2"/>
  <c r="G452" i="2"/>
  <c r="H452" i="2"/>
  <c r="E453" i="2"/>
  <c r="F453" i="2"/>
  <c r="G453" i="2"/>
  <c r="H453" i="2"/>
  <c r="E454" i="2"/>
  <c r="F454" i="2"/>
  <c r="G454" i="2"/>
  <c r="H454" i="2"/>
  <c r="E455" i="2"/>
  <c r="F455" i="2"/>
  <c r="G455" i="2"/>
  <c r="H455" i="2"/>
  <c r="E456" i="2"/>
  <c r="F456" i="2"/>
  <c r="G456" i="2"/>
  <c r="H456" i="2"/>
  <c r="E457" i="2"/>
  <c r="F457" i="2"/>
  <c r="G457" i="2"/>
  <c r="H457" i="2"/>
  <c r="E458" i="2"/>
  <c r="F458" i="2"/>
  <c r="G458" i="2"/>
  <c r="H458" i="2"/>
  <c r="E459" i="2"/>
  <c r="F459" i="2"/>
  <c r="G459" i="2"/>
  <c r="H459" i="2"/>
  <c r="E460" i="2"/>
  <c r="F460" i="2"/>
  <c r="G460" i="2"/>
  <c r="H460" i="2"/>
  <c r="E461" i="2"/>
  <c r="F461" i="2"/>
  <c r="G461" i="2"/>
  <c r="H461" i="2"/>
  <c r="E462" i="2"/>
  <c r="F462" i="2"/>
  <c r="G462" i="2"/>
  <c r="H462" i="2"/>
  <c r="E463" i="2"/>
  <c r="F463" i="2"/>
  <c r="G463" i="2"/>
  <c r="H463" i="2"/>
  <c r="E464" i="2"/>
  <c r="F464" i="2"/>
  <c r="G464" i="2"/>
  <c r="H464" i="2"/>
  <c r="E465" i="2"/>
  <c r="F465" i="2"/>
  <c r="G465" i="2"/>
  <c r="H465" i="2"/>
  <c r="E466" i="2"/>
  <c r="F466" i="2"/>
  <c r="G466" i="2"/>
  <c r="H466" i="2"/>
  <c r="E467" i="2"/>
  <c r="F467" i="2"/>
  <c r="G467" i="2"/>
  <c r="H467" i="2"/>
  <c r="E468" i="2"/>
  <c r="F468" i="2"/>
  <c r="G468" i="2"/>
  <c r="H468" i="2"/>
  <c r="E469" i="2"/>
  <c r="F469" i="2"/>
  <c r="G469" i="2"/>
  <c r="H469" i="2"/>
  <c r="E470" i="2"/>
  <c r="F470" i="2"/>
  <c r="G470" i="2"/>
  <c r="H470" i="2"/>
  <c r="E471" i="2"/>
  <c r="F471" i="2"/>
  <c r="G471" i="2"/>
  <c r="H471" i="2"/>
  <c r="E472" i="2"/>
  <c r="F472" i="2"/>
  <c r="G472" i="2"/>
  <c r="H472" i="2"/>
  <c r="E473" i="2"/>
  <c r="F473" i="2"/>
  <c r="G473" i="2"/>
  <c r="H473" i="2"/>
  <c r="E474" i="2"/>
  <c r="F474" i="2"/>
  <c r="G474" i="2"/>
  <c r="H474" i="2"/>
  <c r="E475" i="2"/>
  <c r="F475" i="2"/>
  <c r="G475" i="2"/>
  <c r="H475" i="2"/>
  <c r="E476" i="2"/>
  <c r="F476" i="2"/>
  <c r="G476" i="2"/>
  <c r="H476" i="2"/>
  <c r="E477" i="2"/>
  <c r="F477" i="2"/>
  <c r="G477" i="2"/>
  <c r="H477" i="2"/>
  <c r="E478" i="2"/>
  <c r="F478" i="2"/>
  <c r="G478" i="2"/>
  <c r="H478" i="2"/>
  <c r="E479" i="2"/>
  <c r="F479" i="2"/>
  <c r="G479" i="2"/>
  <c r="H479" i="2"/>
  <c r="E480" i="2"/>
  <c r="F480" i="2"/>
  <c r="G480" i="2"/>
  <c r="H480" i="2"/>
  <c r="E481" i="2"/>
  <c r="F481" i="2"/>
  <c r="G481" i="2"/>
  <c r="H481" i="2"/>
  <c r="E482" i="2"/>
  <c r="F482" i="2"/>
  <c r="G482" i="2"/>
  <c r="H482" i="2"/>
  <c r="E483" i="2"/>
  <c r="F483" i="2"/>
  <c r="G483" i="2"/>
  <c r="H483" i="2"/>
  <c r="E484" i="2"/>
  <c r="F484" i="2"/>
  <c r="G484" i="2"/>
  <c r="H484" i="2"/>
  <c r="E485" i="2"/>
  <c r="F485" i="2"/>
  <c r="G485" i="2"/>
  <c r="H485" i="2"/>
  <c r="E486" i="2"/>
  <c r="F486" i="2"/>
  <c r="G486" i="2"/>
  <c r="H486" i="2"/>
  <c r="E487" i="2"/>
  <c r="F487" i="2"/>
  <c r="G487" i="2"/>
  <c r="H487" i="2"/>
  <c r="E488" i="2"/>
  <c r="F488" i="2"/>
  <c r="G488" i="2"/>
  <c r="H488" i="2"/>
  <c r="E489" i="2"/>
  <c r="F489" i="2"/>
  <c r="G489" i="2"/>
  <c r="H489" i="2"/>
  <c r="E490" i="2"/>
  <c r="F490" i="2"/>
  <c r="G490" i="2"/>
  <c r="H490" i="2"/>
  <c r="E491" i="2"/>
  <c r="F491" i="2"/>
  <c r="G491" i="2"/>
  <c r="H491" i="2"/>
  <c r="E492" i="2"/>
  <c r="F492" i="2"/>
  <c r="G492" i="2"/>
  <c r="H492" i="2"/>
  <c r="E493" i="2"/>
  <c r="F493" i="2"/>
  <c r="G493" i="2"/>
  <c r="H493" i="2"/>
  <c r="E494" i="2"/>
  <c r="F494" i="2"/>
  <c r="G494" i="2"/>
  <c r="H494" i="2"/>
  <c r="E495" i="2"/>
  <c r="F495" i="2"/>
  <c r="G495" i="2"/>
  <c r="H495" i="2"/>
  <c r="E496" i="2"/>
  <c r="F496" i="2"/>
  <c r="G496" i="2"/>
  <c r="H496" i="2"/>
  <c r="E497" i="2"/>
  <c r="F497" i="2"/>
  <c r="G497" i="2"/>
  <c r="H497" i="2"/>
  <c r="E498" i="2"/>
  <c r="F498" i="2"/>
  <c r="G498" i="2"/>
  <c r="H498" i="2"/>
  <c r="E499" i="2"/>
  <c r="F499" i="2"/>
  <c r="G499" i="2"/>
  <c r="H499" i="2"/>
  <c r="E500" i="2"/>
  <c r="F500" i="2"/>
  <c r="G500" i="2"/>
  <c r="H500" i="2"/>
  <c r="E501" i="2"/>
  <c r="F501" i="2"/>
  <c r="G501" i="2"/>
  <c r="H501" i="2"/>
  <c r="E502" i="2"/>
  <c r="F502" i="2"/>
  <c r="G502" i="2"/>
  <c r="H502" i="2"/>
  <c r="E503" i="2"/>
  <c r="F503" i="2"/>
  <c r="G503" i="2"/>
  <c r="H503" i="2"/>
  <c r="E504" i="2"/>
  <c r="F504" i="2"/>
  <c r="G504" i="2"/>
  <c r="H504" i="2"/>
  <c r="E505" i="2"/>
  <c r="F505" i="2"/>
  <c r="G505" i="2"/>
  <c r="H505" i="2"/>
  <c r="E506" i="2"/>
  <c r="F506" i="2"/>
  <c r="G506" i="2"/>
  <c r="H506" i="2"/>
  <c r="E507" i="2"/>
  <c r="F507" i="2"/>
  <c r="G507" i="2"/>
  <c r="H507" i="2"/>
  <c r="E508" i="2"/>
  <c r="F508" i="2"/>
  <c r="G508" i="2"/>
  <c r="H508" i="2"/>
  <c r="E509" i="2"/>
  <c r="F509" i="2"/>
  <c r="G509" i="2"/>
  <c r="H509" i="2"/>
  <c r="E510" i="2"/>
  <c r="F510" i="2"/>
  <c r="G510" i="2"/>
  <c r="H510" i="2"/>
  <c r="E511" i="2"/>
  <c r="F511" i="2"/>
  <c r="G511" i="2"/>
  <c r="H511" i="2"/>
  <c r="E512" i="2"/>
  <c r="F512" i="2"/>
  <c r="G512" i="2"/>
  <c r="H512" i="2"/>
  <c r="E513" i="2"/>
  <c r="F513" i="2"/>
  <c r="G513" i="2"/>
  <c r="H513" i="2"/>
  <c r="E514" i="2"/>
  <c r="F514" i="2"/>
  <c r="G514" i="2"/>
  <c r="H514" i="2"/>
  <c r="E515" i="2"/>
  <c r="F515" i="2"/>
  <c r="G515" i="2"/>
  <c r="H515" i="2"/>
  <c r="E516" i="2"/>
  <c r="F516" i="2"/>
  <c r="G516" i="2"/>
  <c r="H516" i="2"/>
  <c r="E517" i="2"/>
  <c r="F517" i="2"/>
  <c r="G517" i="2"/>
  <c r="H517" i="2"/>
  <c r="E518" i="2"/>
  <c r="F518" i="2"/>
  <c r="G518" i="2"/>
  <c r="H518" i="2"/>
  <c r="E519" i="2"/>
  <c r="F519" i="2"/>
  <c r="G519" i="2"/>
  <c r="H519" i="2"/>
  <c r="E520" i="2"/>
  <c r="F520" i="2"/>
  <c r="G520" i="2"/>
  <c r="H520" i="2"/>
  <c r="E521" i="2"/>
  <c r="F521" i="2"/>
  <c r="G521" i="2"/>
  <c r="H521" i="2"/>
  <c r="E522" i="2"/>
  <c r="F522" i="2"/>
  <c r="G522" i="2"/>
  <c r="H522" i="2"/>
  <c r="E523" i="2"/>
  <c r="F523" i="2"/>
  <c r="G523" i="2"/>
  <c r="H523" i="2"/>
  <c r="E524" i="2"/>
  <c r="F524" i="2"/>
  <c r="G524" i="2"/>
  <c r="H524" i="2"/>
  <c r="E525" i="2"/>
  <c r="F525" i="2"/>
  <c r="G525" i="2"/>
  <c r="H525" i="2"/>
  <c r="E526" i="2"/>
  <c r="F526" i="2"/>
  <c r="G526" i="2"/>
  <c r="H526" i="2"/>
  <c r="E527" i="2"/>
  <c r="F527" i="2"/>
  <c r="G527" i="2"/>
  <c r="H527" i="2"/>
  <c r="E528" i="2"/>
  <c r="F528" i="2"/>
  <c r="G528" i="2"/>
  <c r="H528" i="2"/>
  <c r="E529" i="2"/>
  <c r="F529" i="2"/>
  <c r="G529" i="2"/>
  <c r="H529" i="2"/>
  <c r="E530" i="2"/>
  <c r="F530" i="2"/>
  <c r="G530" i="2"/>
  <c r="H530" i="2"/>
  <c r="E531" i="2"/>
  <c r="F531" i="2"/>
  <c r="G531" i="2"/>
  <c r="H531" i="2"/>
  <c r="E532" i="2"/>
  <c r="F532" i="2"/>
  <c r="G532" i="2"/>
  <c r="H532" i="2"/>
  <c r="E533" i="2"/>
  <c r="F533" i="2"/>
  <c r="G533" i="2"/>
  <c r="H533" i="2"/>
  <c r="E534" i="2"/>
  <c r="F534" i="2"/>
  <c r="G534" i="2"/>
  <c r="H534" i="2"/>
  <c r="E535" i="2"/>
  <c r="F535" i="2"/>
  <c r="G535" i="2"/>
  <c r="H535" i="2"/>
  <c r="E536" i="2"/>
  <c r="F536" i="2"/>
  <c r="G536" i="2"/>
  <c r="H536" i="2"/>
  <c r="E537" i="2"/>
  <c r="F537" i="2"/>
  <c r="G537" i="2"/>
  <c r="H537" i="2"/>
  <c r="E538" i="2"/>
  <c r="F538" i="2"/>
  <c r="G538" i="2"/>
  <c r="H538" i="2"/>
  <c r="E539" i="2"/>
  <c r="F539" i="2"/>
  <c r="G539" i="2"/>
  <c r="H539" i="2"/>
  <c r="E540" i="2"/>
  <c r="F540" i="2"/>
  <c r="G540" i="2"/>
  <c r="H540" i="2"/>
  <c r="E541" i="2"/>
  <c r="F541" i="2"/>
  <c r="G541" i="2"/>
  <c r="H541" i="2"/>
  <c r="E542" i="2"/>
  <c r="F542" i="2"/>
  <c r="G542" i="2"/>
  <c r="H542" i="2"/>
  <c r="E543" i="2"/>
  <c r="F543" i="2"/>
  <c r="G543" i="2"/>
  <c r="H543" i="2"/>
  <c r="E544" i="2"/>
  <c r="F544" i="2"/>
  <c r="G544" i="2"/>
  <c r="H544" i="2"/>
  <c r="E545" i="2"/>
  <c r="F545" i="2"/>
  <c r="G545" i="2"/>
  <c r="H545" i="2"/>
  <c r="E546" i="2"/>
  <c r="F546" i="2"/>
  <c r="G546" i="2"/>
  <c r="H546" i="2"/>
  <c r="E547" i="2"/>
  <c r="F547" i="2"/>
  <c r="G547" i="2"/>
  <c r="H547" i="2"/>
  <c r="E548" i="2"/>
  <c r="F548" i="2"/>
  <c r="G548" i="2"/>
  <c r="H548" i="2"/>
  <c r="E549" i="2"/>
  <c r="F549" i="2"/>
  <c r="G549" i="2"/>
  <c r="H549" i="2"/>
  <c r="E550" i="2"/>
  <c r="F550" i="2"/>
  <c r="G550" i="2"/>
  <c r="H550" i="2"/>
  <c r="E551" i="2"/>
  <c r="F551" i="2"/>
  <c r="G551" i="2"/>
  <c r="H551" i="2"/>
  <c r="E552" i="2"/>
  <c r="F552" i="2"/>
  <c r="G552" i="2"/>
  <c r="H552" i="2"/>
  <c r="E553" i="2"/>
  <c r="F553" i="2"/>
  <c r="G553" i="2"/>
  <c r="H553" i="2"/>
  <c r="E554" i="2"/>
  <c r="F554" i="2"/>
  <c r="G554" i="2"/>
  <c r="H554" i="2"/>
  <c r="E555" i="2"/>
  <c r="F555" i="2"/>
  <c r="G555" i="2"/>
  <c r="H555" i="2"/>
  <c r="E556" i="2"/>
  <c r="F556" i="2"/>
  <c r="G556" i="2"/>
  <c r="H556" i="2"/>
  <c r="E557" i="2"/>
  <c r="F557" i="2"/>
  <c r="G557" i="2"/>
  <c r="H557" i="2"/>
  <c r="E558" i="2"/>
  <c r="F558" i="2"/>
  <c r="G558" i="2"/>
  <c r="H558" i="2"/>
  <c r="E559" i="2"/>
  <c r="F559" i="2"/>
  <c r="G559" i="2"/>
  <c r="H559" i="2"/>
  <c r="E560" i="2"/>
  <c r="F560" i="2"/>
  <c r="G560" i="2"/>
  <c r="H560" i="2"/>
  <c r="E561" i="2"/>
  <c r="F561" i="2"/>
  <c r="G561" i="2"/>
  <c r="H561" i="2"/>
  <c r="E562" i="2"/>
  <c r="F562" i="2"/>
  <c r="G562" i="2"/>
  <c r="H562" i="2"/>
  <c r="E563" i="2"/>
  <c r="F563" i="2"/>
  <c r="G563" i="2"/>
  <c r="H563" i="2"/>
  <c r="E564" i="2"/>
  <c r="F564" i="2"/>
  <c r="G564" i="2"/>
  <c r="H564" i="2"/>
  <c r="E565" i="2"/>
  <c r="F565" i="2"/>
  <c r="G565" i="2"/>
  <c r="H565" i="2"/>
  <c r="E566" i="2"/>
  <c r="F566" i="2"/>
  <c r="G566" i="2"/>
  <c r="H566" i="2"/>
  <c r="E567" i="2"/>
  <c r="F567" i="2"/>
  <c r="G567" i="2"/>
  <c r="H567" i="2"/>
  <c r="E568" i="2"/>
  <c r="F568" i="2"/>
  <c r="G568" i="2"/>
  <c r="H568" i="2"/>
  <c r="E569" i="2"/>
  <c r="F569" i="2"/>
  <c r="G569" i="2"/>
  <c r="H569" i="2"/>
  <c r="E570" i="2"/>
  <c r="F570" i="2"/>
  <c r="G570" i="2"/>
  <c r="H570" i="2"/>
  <c r="E571" i="2"/>
  <c r="F571" i="2"/>
  <c r="G571" i="2"/>
  <c r="H571" i="2"/>
  <c r="E572" i="2"/>
  <c r="F572" i="2"/>
  <c r="G572" i="2"/>
  <c r="H572" i="2"/>
  <c r="E573" i="2"/>
  <c r="F573" i="2"/>
  <c r="G573" i="2"/>
  <c r="H573" i="2"/>
  <c r="E574" i="2"/>
  <c r="F574" i="2"/>
  <c r="G574" i="2"/>
  <c r="H574" i="2"/>
  <c r="E575" i="2"/>
  <c r="F575" i="2"/>
  <c r="G575" i="2"/>
  <c r="H575" i="2"/>
  <c r="E576" i="2"/>
  <c r="F576" i="2"/>
  <c r="G576" i="2"/>
  <c r="H576" i="2"/>
  <c r="E577" i="2"/>
  <c r="F577" i="2"/>
  <c r="G577" i="2"/>
  <c r="H577" i="2"/>
  <c r="E578" i="2"/>
  <c r="F578" i="2"/>
  <c r="G578" i="2"/>
  <c r="H578" i="2"/>
  <c r="E579" i="2"/>
  <c r="F579" i="2"/>
  <c r="G579" i="2"/>
  <c r="H579" i="2"/>
  <c r="E580" i="2"/>
  <c r="F580" i="2"/>
  <c r="G580" i="2"/>
  <c r="H580" i="2"/>
  <c r="E581" i="2"/>
  <c r="F581" i="2"/>
  <c r="G581" i="2"/>
  <c r="H581" i="2"/>
  <c r="E582" i="2"/>
  <c r="F582" i="2"/>
  <c r="G582" i="2"/>
  <c r="H582" i="2"/>
  <c r="E583" i="2"/>
  <c r="F583" i="2"/>
  <c r="G583" i="2"/>
  <c r="H583" i="2"/>
  <c r="E584" i="2"/>
  <c r="F584" i="2"/>
  <c r="G584" i="2"/>
  <c r="H584" i="2"/>
  <c r="E585" i="2"/>
  <c r="F585" i="2"/>
  <c r="G585" i="2"/>
  <c r="H585" i="2"/>
  <c r="E586" i="2"/>
  <c r="F586" i="2"/>
  <c r="G586" i="2"/>
  <c r="H586" i="2"/>
  <c r="E587" i="2"/>
  <c r="F587" i="2"/>
  <c r="G587" i="2"/>
  <c r="H587" i="2"/>
  <c r="E588" i="2"/>
  <c r="F588" i="2"/>
  <c r="G588" i="2"/>
  <c r="H588" i="2"/>
  <c r="E589" i="2"/>
  <c r="F589" i="2"/>
  <c r="G589" i="2"/>
  <c r="H589" i="2"/>
  <c r="E590" i="2"/>
  <c r="F590" i="2"/>
  <c r="G590" i="2"/>
  <c r="H590" i="2"/>
  <c r="E591" i="2"/>
  <c r="F591" i="2"/>
  <c r="G591" i="2"/>
  <c r="H591" i="2"/>
  <c r="E592" i="2"/>
  <c r="F592" i="2"/>
  <c r="G592" i="2"/>
  <c r="H592" i="2"/>
  <c r="E593" i="2"/>
  <c r="F593" i="2"/>
  <c r="G593" i="2"/>
  <c r="H593" i="2"/>
  <c r="E594" i="2"/>
  <c r="F594" i="2"/>
  <c r="G594" i="2"/>
  <c r="H594" i="2"/>
  <c r="E595" i="2"/>
  <c r="F595" i="2"/>
  <c r="G595" i="2"/>
  <c r="H595" i="2"/>
  <c r="E596" i="2"/>
  <c r="F596" i="2"/>
  <c r="G596" i="2"/>
  <c r="H596" i="2"/>
  <c r="E597" i="2"/>
  <c r="F597" i="2"/>
  <c r="G597" i="2"/>
  <c r="H597" i="2"/>
  <c r="E598" i="2"/>
  <c r="F598" i="2"/>
  <c r="G598" i="2"/>
  <c r="H598" i="2"/>
  <c r="E599" i="2"/>
  <c r="F599" i="2"/>
  <c r="G599" i="2"/>
  <c r="H599" i="2"/>
  <c r="E600" i="2"/>
  <c r="F600" i="2"/>
  <c r="G600" i="2"/>
  <c r="H600" i="2"/>
  <c r="E601" i="2"/>
  <c r="F601" i="2"/>
  <c r="G601" i="2"/>
  <c r="H601" i="2"/>
  <c r="E602" i="2"/>
  <c r="F602" i="2"/>
  <c r="G602" i="2"/>
  <c r="H602" i="2"/>
  <c r="E603" i="2"/>
  <c r="F603" i="2"/>
  <c r="G603" i="2"/>
  <c r="H603" i="2"/>
  <c r="E604" i="2"/>
  <c r="F604" i="2"/>
  <c r="G604" i="2"/>
  <c r="H604" i="2"/>
  <c r="E605" i="2"/>
  <c r="F605" i="2"/>
  <c r="G605" i="2"/>
  <c r="H605" i="2"/>
  <c r="E606" i="2"/>
  <c r="F606" i="2"/>
  <c r="G606" i="2"/>
  <c r="H606" i="2"/>
  <c r="E607" i="2"/>
  <c r="F607" i="2"/>
  <c r="G607" i="2"/>
  <c r="H607" i="2"/>
  <c r="E608" i="2"/>
  <c r="F608" i="2"/>
  <c r="G608" i="2"/>
  <c r="H608" i="2"/>
  <c r="E609" i="2"/>
  <c r="F609" i="2"/>
  <c r="G609" i="2"/>
  <c r="H609" i="2"/>
  <c r="E610" i="2"/>
  <c r="F610" i="2"/>
  <c r="G610" i="2"/>
  <c r="H610" i="2"/>
  <c r="E611" i="2"/>
  <c r="F611" i="2"/>
  <c r="G611" i="2"/>
  <c r="H611" i="2"/>
  <c r="E612" i="2"/>
  <c r="F612" i="2"/>
  <c r="G612" i="2"/>
  <c r="H612" i="2"/>
  <c r="E613" i="2"/>
  <c r="F613" i="2"/>
  <c r="G613" i="2"/>
  <c r="H613" i="2"/>
  <c r="E614" i="2"/>
  <c r="F614" i="2"/>
  <c r="G614" i="2"/>
  <c r="H614" i="2"/>
  <c r="E615" i="2"/>
  <c r="F615" i="2"/>
  <c r="G615" i="2"/>
  <c r="H615" i="2"/>
  <c r="E616" i="2"/>
  <c r="F616" i="2"/>
  <c r="G616" i="2"/>
  <c r="H616" i="2"/>
  <c r="E617" i="2"/>
  <c r="F617" i="2"/>
  <c r="G617" i="2"/>
  <c r="H617" i="2"/>
  <c r="E618" i="2"/>
  <c r="F618" i="2"/>
  <c r="G618" i="2"/>
  <c r="H618" i="2"/>
  <c r="E619" i="2"/>
  <c r="F619" i="2"/>
  <c r="G619" i="2"/>
  <c r="H619" i="2"/>
  <c r="E620" i="2"/>
  <c r="F620" i="2"/>
  <c r="G620" i="2"/>
  <c r="H620" i="2"/>
  <c r="E621" i="2"/>
  <c r="F621" i="2"/>
  <c r="G621" i="2"/>
  <c r="H621" i="2"/>
  <c r="E622" i="2"/>
  <c r="F622" i="2"/>
  <c r="G622" i="2"/>
  <c r="H622" i="2"/>
  <c r="E623" i="2"/>
  <c r="F623" i="2"/>
  <c r="G623" i="2"/>
  <c r="H623" i="2"/>
  <c r="E624" i="2"/>
  <c r="F624" i="2"/>
  <c r="G624" i="2"/>
  <c r="H624" i="2"/>
  <c r="E625" i="2"/>
  <c r="F625" i="2"/>
  <c r="G625" i="2"/>
  <c r="H625" i="2"/>
  <c r="E626" i="2"/>
  <c r="F626" i="2"/>
  <c r="G626" i="2"/>
  <c r="H626" i="2"/>
  <c r="E627" i="2"/>
  <c r="F627" i="2"/>
  <c r="G627" i="2"/>
  <c r="H627" i="2"/>
  <c r="E628" i="2"/>
  <c r="F628" i="2"/>
  <c r="G628" i="2"/>
  <c r="H628" i="2"/>
  <c r="E629" i="2"/>
  <c r="F629" i="2"/>
  <c r="G629" i="2"/>
  <c r="H629" i="2"/>
  <c r="E630" i="2"/>
  <c r="F630" i="2"/>
  <c r="G630" i="2"/>
  <c r="H630" i="2"/>
  <c r="E631" i="2"/>
  <c r="F631" i="2"/>
  <c r="G631" i="2"/>
  <c r="H631" i="2"/>
  <c r="E632" i="2"/>
  <c r="F632" i="2"/>
  <c r="G632" i="2"/>
  <c r="H632" i="2"/>
  <c r="E633" i="2"/>
  <c r="F633" i="2"/>
  <c r="G633" i="2"/>
  <c r="H633" i="2"/>
  <c r="E634" i="2"/>
  <c r="F634" i="2"/>
  <c r="G634" i="2"/>
  <c r="H634" i="2"/>
  <c r="E635" i="2"/>
  <c r="F635" i="2"/>
  <c r="G635" i="2"/>
  <c r="H635" i="2"/>
  <c r="E636" i="2"/>
  <c r="F636" i="2"/>
  <c r="G636" i="2"/>
  <c r="H636" i="2"/>
  <c r="E637" i="2"/>
  <c r="F637" i="2"/>
  <c r="G637" i="2"/>
  <c r="H637" i="2"/>
  <c r="E638" i="2"/>
  <c r="F638" i="2"/>
  <c r="G638" i="2"/>
  <c r="H638" i="2"/>
  <c r="E639" i="2"/>
  <c r="F639" i="2"/>
  <c r="G639" i="2"/>
  <c r="H639" i="2"/>
  <c r="E640" i="2"/>
  <c r="F640" i="2"/>
  <c r="G640" i="2"/>
  <c r="H640" i="2"/>
  <c r="E641" i="2"/>
  <c r="F641" i="2"/>
  <c r="G641" i="2"/>
  <c r="H641" i="2"/>
  <c r="E642" i="2"/>
  <c r="F642" i="2"/>
  <c r="G642" i="2"/>
  <c r="H642" i="2"/>
  <c r="E643" i="2"/>
  <c r="F643" i="2"/>
  <c r="G643" i="2"/>
  <c r="H643" i="2"/>
  <c r="E644" i="2"/>
  <c r="F644" i="2"/>
  <c r="G644" i="2"/>
  <c r="H644" i="2"/>
  <c r="E645" i="2"/>
  <c r="F645" i="2"/>
  <c r="G645" i="2"/>
  <c r="H645" i="2"/>
  <c r="E646" i="2"/>
  <c r="F646" i="2"/>
  <c r="G646" i="2"/>
  <c r="H646" i="2"/>
  <c r="E647" i="2"/>
  <c r="F647" i="2"/>
  <c r="G647" i="2"/>
  <c r="H647" i="2"/>
  <c r="E648" i="2"/>
  <c r="F648" i="2"/>
  <c r="G648" i="2"/>
  <c r="H648" i="2"/>
  <c r="E649" i="2"/>
  <c r="F649" i="2"/>
  <c r="G649" i="2"/>
  <c r="H649" i="2"/>
  <c r="E650" i="2"/>
  <c r="F650" i="2"/>
  <c r="G650" i="2"/>
  <c r="H650" i="2"/>
  <c r="E651" i="2"/>
  <c r="F651" i="2"/>
  <c r="G651" i="2"/>
  <c r="H651" i="2"/>
  <c r="E652" i="2"/>
  <c r="F652" i="2"/>
  <c r="G652" i="2"/>
  <c r="H652" i="2"/>
  <c r="E653" i="2"/>
  <c r="F653" i="2"/>
  <c r="G653" i="2"/>
  <c r="H653" i="2"/>
  <c r="E654" i="2"/>
  <c r="F654" i="2"/>
  <c r="G654" i="2"/>
  <c r="H654" i="2"/>
  <c r="E655" i="2"/>
  <c r="F655" i="2"/>
  <c r="G655" i="2"/>
  <c r="H655" i="2"/>
  <c r="E656" i="2"/>
  <c r="F656" i="2"/>
  <c r="G656" i="2"/>
  <c r="H656" i="2"/>
  <c r="E657" i="2"/>
  <c r="F657" i="2"/>
  <c r="G657" i="2"/>
  <c r="H657" i="2"/>
  <c r="E658" i="2"/>
  <c r="F658" i="2"/>
  <c r="G658" i="2"/>
  <c r="H658" i="2"/>
  <c r="E659" i="2"/>
  <c r="F659" i="2"/>
  <c r="G659" i="2"/>
  <c r="H659" i="2"/>
  <c r="E660" i="2"/>
  <c r="F660" i="2"/>
  <c r="G660" i="2"/>
  <c r="H660" i="2"/>
  <c r="E661" i="2"/>
  <c r="F661" i="2"/>
  <c r="G661" i="2"/>
  <c r="H661" i="2"/>
  <c r="E662" i="2"/>
  <c r="F662" i="2"/>
  <c r="G662" i="2"/>
  <c r="H662" i="2"/>
  <c r="E663" i="2"/>
  <c r="F663" i="2"/>
  <c r="G663" i="2"/>
  <c r="H663" i="2"/>
  <c r="E664" i="2"/>
  <c r="F664" i="2"/>
  <c r="G664" i="2"/>
  <c r="H664" i="2"/>
  <c r="E665" i="2"/>
  <c r="F665" i="2"/>
  <c r="G665" i="2"/>
  <c r="H665" i="2"/>
  <c r="E666" i="2"/>
  <c r="F666" i="2"/>
  <c r="G666" i="2"/>
  <c r="H666" i="2"/>
  <c r="E667" i="2"/>
  <c r="F667" i="2"/>
  <c r="G667" i="2"/>
  <c r="H667" i="2"/>
  <c r="E668" i="2"/>
  <c r="F668" i="2"/>
  <c r="G668" i="2"/>
  <c r="H668" i="2"/>
  <c r="E669" i="2"/>
  <c r="F669" i="2"/>
  <c r="G669" i="2"/>
  <c r="H669" i="2"/>
  <c r="E670" i="2"/>
  <c r="F670" i="2"/>
  <c r="G670" i="2"/>
  <c r="H670" i="2"/>
  <c r="E671" i="2"/>
  <c r="F671" i="2"/>
  <c r="G671" i="2"/>
  <c r="H671" i="2"/>
  <c r="E672" i="2"/>
  <c r="F672" i="2"/>
  <c r="G672" i="2"/>
  <c r="H672" i="2"/>
  <c r="E673" i="2"/>
  <c r="F673" i="2"/>
  <c r="G673" i="2"/>
  <c r="H673" i="2"/>
  <c r="E674" i="2"/>
  <c r="F674" i="2"/>
  <c r="G674" i="2"/>
  <c r="H674" i="2"/>
  <c r="E675" i="2"/>
  <c r="F675" i="2"/>
  <c r="G675" i="2"/>
  <c r="H675" i="2"/>
  <c r="E676" i="2"/>
  <c r="F676" i="2"/>
  <c r="G676" i="2"/>
  <c r="H676" i="2"/>
  <c r="E677" i="2"/>
  <c r="F677" i="2"/>
  <c r="G677" i="2"/>
  <c r="H677" i="2"/>
  <c r="E678" i="2"/>
  <c r="F678" i="2"/>
  <c r="G678" i="2"/>
  <c r="H678" i="2"/>
  <c r="E679" i="2"/>
  <c r="F679" i="2"/>
  <c r="G679" i="2"/>
  <c r="H679" i="2"/>
  <c r="E680" i="2"/>
  <c r="F680" i="2"/>
  <c r="G680" i="2"/>
  <c r="H680" i="2"/>
  <c r="E681" i="2"/>
  <c r="F681" i="2"/>
  <c r="G681" i="2"/>
  <c r="H681" i="2"/>
  <c r="E682" i="2"/>
  <c r="F682" i="2"/>
  <c r="G682" i="2"/>
  <c r="H682" i="2"/>
  <c r="E683" i="2"/>
  <c r="F683" i="2"/>
  <c r="G683" i="2"/>
  <c r="H683" i="2"/>
  <c r="E684" i="2"/>
  <c r="F684" i="2"/>
  <c r="G684" i="2"/>
  <c r="H684" i="2"/>
  <c r="E685" i="2"/>
  <c r="F685" i="2"/>
  <c r="G685" i="2"/>
  <c r="H685" i="2"/>
  <c r="E686" i="2"/>
  <c r="F686" i="2"/>
  <c r="G686" i="2"/>
  <c r="H686" i="2"/>
  <c r="E687" i="2"/>
  <c r="F687" i="2"/>
  <c r="G687" i="2"/>
  <c r="H687" i="2"/>
  <c r="E688" i="2"/>
  <c r="F688" i="2"/>
  <c r="G688" i="2"/>
  <c r="H688" i="2"/>
  <c r="E689" i="2"/>
  <c r="F689" i="2"/>
  <c r="G689" i="2"/>
  <c r="H689" i="2"/>
  <c r="E690" i="2"/>
  <c r="F690" i="2"/>
  <c r="G690" i="2"/>
  <c r="H690" i="2"/>
  <c r="E691" i="2"/>
  <c r="F691" i="2"/>
  <c r="G691" i="2"/>
  <c r="H691" i="2"/>
  <c r="E692" i="2"/>
  <c r="F692" i="2"/>
  <c r="G692" i="2"/>
  <c r="H692" i="2"/>
  <c r="E693" i="2"/>
  <c r="F693" i="2"/>
  <c r="G693" i="2"/>
  <c r="H693" i="2"/>
  <c r="E694" i="2"/>
  <c r="F694" i="2"/>
  <c r="G694" i="2"/>
  <c r="H694" i="2"/>
  <c r="E695" i="2"/>
  <c r="F695" i="2"/>
  <c r="G695" i="2"/>
  <c r="H695" i="2"/>
  <c r="E696" i="2"/>
  <c r="F696" i="2"/>
  <c r="G696" i="2"/>
  <c r="H696" i="2"/>
  <c r="E697" i="2"/>
  <c r="F697" i="2"/>
  <c r="G697" i="2"/>
  <c r="H697" i="2"/>
  <c r="E698" i="2"/>
  <c r="F698" i="2"/>
  <c r="G698" i="2"/>
  <c r="H698" i="2"/>
  <c r="E699" i="2"/>
  <c r="F699" i="2"/>
  <c r="G699" i="2"/>
  <c r="H699" i="2"/>
  <c r="E700" i="2"/>
  <c r="F700" i="2"/>
  <c r="G700" i="2"/>
  <c r="H700" i="2"/>
  <c r="E701" i="2"/>
  <c r="F701" i="2"/>
  <c r="G701" i="2"/>
  <c r="H701" i="2"/>
  <c r="E702" i="2"/>
  <c r="F702" i="2"/>
  <c r="G702" i="2"/>
  <c r="H702" i="2"/>
  <c r="E703" i="2"/>
  <c r="F703" i="2"/>
  <c r="G703" i="2"/>
  <c r="H703" i="2"/>
  <c r="E704" i="2"/>
  <c r="F704" i="2"/>
  <c r="G704" i="2"/>
  <c r="H704" i="2"/>
  <c r="E705" i="2"/>
  <c r="F705" i="2"/>
  <c r="G705" i="2"/>
  <c r="H705" i="2"/>
  <c r="E706" i="2"/>
  <c r="F706" i="2"/>
  <c r="G706" i="2"/>
  <c r="H706" i="2"/>
  <c r="E707" i="2"/>
  <c r="F707" i="2"/>
  <c r="G707" i="2"/>
  <c r="H707" i="2"/>
  <c r="E708" i="2"/>
  <c r="F708" i="2"/>
  <c r="G708" i="2"/>
  <c r="H708" i="2"/>
  <c r="E709" i="2"/>
  <c r="F709" i="2"/>
  <c r="G709" i="2"/>
  <c r="H709" i="2"/>
  <c r="E710" i="2"/>
  <c r="F710" i="2"/>
  <c r="G710" i="2"/>
  <c r="H710" i="2"/>
  <c r="E711" i="2"/>
  <c r="F711" i="2"/>
  <c r="G711" i="2"/>
  <c r="H711" i="2"/>
  <c r="E712" i="2"/>
  <c r="F712" i="2"/>
  <c r="G712" i="2"/>
  <c r="H712" i="2"/>
  <c r="E713" i="2"/>
  <c r="F713" i="2"/>
  <c r="G713" i="2"/>
  <c r="H713" i="2"/>
  <c r="E714" i="2"/>
  <c r="F714" i="2"/>
  <c r="G714" i="2"/>
  <c r="H714" i="2"/>
  <c r="E715" i="2"/>
  <c r="F715" i="2"/>
  <c r="G715" i="2"/>
  <c r="H715" i="2"/>
  <c r="E716" i="2"/>
  <c r="F716" i="2"/>
  <c r="G716" i="2"/>
  <c r="H716" i="2"/>
  <c r="E717" i="2"/>
  <c r="F717" i="2"/>
  <c r="G717" i="2"/>
  <c r="H717" i="2"/>
  <c r="E718" i="2"/>
  <c r="F718" i="2"/>
  <c r="G718" i="2"/>
  <c r="H718" i="2"/>
  <c r="E719" i="2"/>
  <c r="F719" i="2"/>
  <c r="G719" i="2"/>
  <c r="H719" i="2"/>
  <c r="E720" i="2"/>
  <c r="F720" i="2"/>
  <c r="G720" i="2"/>
  <c r="H720" i="2"/>
  <c r="E721" i="2"/>
  <c r="F721" i="2"/>
  <c r="G721" i="2"/>
  <c r="H721" i="2"/>
  <c r="E722" i="2"/>
  <c r="F722" i="2"/>
  <c r="G722" i="2"/>
  <c r="H722" i="2"/>
  <c r="E723" i="2"/>
  <c r="F723" i="2"/>
  <c r="G723" i="2"/>
  <c r="H723" i="2"/>
  <c r="E724" i="2"/>
  <c r="F724" i="2"/>
  <c r="G724" i="2"/>
  <c r="H724" i="2"/>
  <c r="E725" i="2"/>
  <c r="F725" i="2"/>
  <c r="G725" i="2"/>
  <c r="H725" i="2"/>
  <c r="E726" i="2"/>
  <c r="F726" i="2"/>
  <c r="G726" i="2"/>
  <c r="H726" i="2"/>
  <c r="E727" i="2"/>
  <c r="F727" i="2"/>
  <c r="G727" i="2"/>
  <c r="H727" i="2"/>
  <c r="E728" i="2"/>
  <c r="F728" i="2"/>
  <c r="G728" i="2"/>
  <c r="H728" i="2"/>
  <c r="E729" i="2"/>
  <c r="F729" i="2"/>
  <c r="G729" i="2"/>
  <c r="H729" i="2"/>
  <c r="E730" i="2"/>
  <c r="F730" i="2"/>
  <c r="G730" i="2"/>
  <c r="H730" i="2"/>
  <c r="E731" i="2"/>
  <c r="F731" i="2"/>
  <c r="G731" i="2"/>
  <c r="H731" i="2"/>
  <c r="E732" i="2"/>
  <c r="F732" i="2"/>
  <c r="G732" i="2"/>
  <c r="H732" i="2"/>
  <c r="E733" i="2"/>
  <c r="F733" i="2"/>
  <c r="G733" i="2"/>
  <c r="H733" i="2"/>
  <c r="E734" i="2"/>
  <c r="F734" i="2"/>
  <c r="G734" i="2"/>
  <c r="H734" i="2"/>
  <c r="E735" i="2"/>
  <c r="F735" i="2"/>
  <c r="G735" i="2"/>
  <c r="H735" i="2"/>
  <c r="E736" i="2"/>
  <c r="F736" i="2"/>
  <c r="G736" i="2"/>
  <c r="H736" i="2"/>
  <c r="E737" i="2"/>
  <c r="F737" i="2"/>
  <c r="G737" i="2"/>
  <c r="H737" i="2"/>
  <c r="E738" i="2"/>
  <c r="F738" i="2"/>
  <c r="G738" i="2"/>
  <c r="H738" i="2"/>
  <c r="E739" i="2"/>
  <c r="F739" i="2"/>
  <c r="G739" i="2"/>
  <c r="H739" i="2"/>
  <c r="E740" i="2"/>
  <c r="F740" i="2"/>
  <c r="G740" i="2"/>
  <c r="H740" i="2"/>
  <c r="E741" i="2"/>
  <c r="F741" i="2"/>
  <c r="G741" i="2"/>
  <c r="H741" i="2"/>
  <c r="E742" i="2"/>
  <c r="F742" i="2"/>
  <c r="G742" i="2"/>
  <c r="H742" i="2"/>
  <c r="E743" i="2"/>
  <c r="F743" i="2"/>
  <c r="G743" i="2"/>
  <c r="H743" i="2"/>
  <c r="E744" i="2"/>
  <c r="F744" i="2"/>
  <c r="G744" i="2"/>
  <c r="H744" i="2"/>
  <c r="E745" i="2"/>
  <c r="F745" i="2"/>
  <c r="G745" i="2"/>
  <c r="H745" i="2"/>
  <c r="E746" i="2"/>
  <c r="F746" i="2"/>
  <c r="G746" i="2"/>
  <c r="H746" i="2"/>
  <c r="E747" i="2"/>
  <c r="F747" i="2"/>
  <c r="G747" i="2"/>
  <c r="H747" i="2"/>
  <c r="E748" i="2"/>
  <c r="F748" i="2"/>
  <c r="G748" i="2"/>
  <c r="H748" i="2"/>
  <c r="H5" i="2"/>
  <c r="G5" i="2"/>
  <c r="F5" i="2"/>
  <c r="E5" i="2"/>
  <c r="D7" i="1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5" i="2"/>
  <c r="H55" i="5" l="1"/>
  <c r="I55" i="5" s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D6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D5" i="1"/>
  <c r="D6" i="17"/>
  <c r="E6" i="17"/>
  <c r="F6" i="17"/>
  <c r="G6" i="17"/>
  <c r="H6" i="17"/>
  <c r="D7" i="17"/>
  <c r="E7" i="17"/>
  <c r="F7" i="17"/>
  <c r="G7" i="17"/>
  <c r="H7" i="17"/>
  <c r="D8" i="17"/>
  <c r="E8" i="17"/>
  <c r="F8" i="17"/>
  <c r="G8" i="17"/>
  <c r="H8" i="17"/>
  <c r="D9" i="17"/>
  <c r="E9" i="17"/>
  <c r="F9" i="17"/>
  <c r="G9" i="17"/>
  <c r="H9" i="17"/>
  <c r="D10" i="17"/>
  <c r="E10" i="17"/>
  <c r="F10" i="17"/>
  <c r="G10" i="17"/>
  <c r="H10" i="17"/>
  <c r="D11" i="17"/>
  <c r="E11" i="17"/>
  <c r="F11" i="17"/>
  <c r="G11" i="17"/>
  <c r="H11" i="17"/>
  <c r="D12" i="17"/>
  <c r="E12" i="17"/>
  <c r="F12" i="17"/>
  <c r="G12" i="17"/>
  <c r="H12" i="17"/>
  <c r="D13" i="17"/>
  <c r="E13" i="17"/>
  <c r="F13" i="17"/>
  <c r="G13" i="17"/>
  <c r="H13" i="17"/>
  <c r="D14" i="17"/>
  <c r="E14" i="17"/>
  <c r="F14" i="17"/>
  <c r="G14" i="17"/>
  <c r="H14" i="17"/>
  <c r="D15" i="17"/>
  <c r="E15" i="17"/>
  <c r="F15" i="17"/>
  <c r="G15" i="17"/>
  <c r="H15" i="17"/>
  <c r="D16" i="17"/>
  <c r="E16" i="17"/>
  <c r="F16" i="17"/>
  <c r="G16" i="17"/>
  <c r="H16" i="17"/>
  <c r="D17" i="17"/>
  <c r="E17" i="17"/>
  <c r="F17" i="17"/>
  <c r="G17" i="17"/>
  <c r="H17" i="17"/>
  <c r="D18" i="17"/>
  <c r="E18" i="17"/>
  <c r="F18" i="17"/>
  <c r="G18" i="17"/>
  <c r="H18" i="17"/>
  <c r="D19" i="17"/>
  <c r="E19" i="17"/>
  <c r="F19" i="17"/>
  <c r="G19" i="17"/>
  <c r="H19" i="17"/>
  <c r="D20" i="17"/>
  <c r="E20" i="17"/>
  <c r="F20" i="17"/>
  <c r="G20" i="17"/>
  <c r="H20" i="17"/>
  <c r="D21" i="17"/>
  <c r="E21" i="17"/>
  <c r="F21" i="17"/>
  <c r="G21" i="17"/>
  <c r="H21" i="17"/>
  <c r="D22" i="17"/>
  <c r="E22" i="17"/>
  <c r="F22" i="17"/>
  <c r="G22" i="17"/>
  <c r="H22" i="17"/>
  <c r="D23" i="17"/>
  <c r="E23" i="17"/>
  <c r="F23" i="17"/>
  <c r="G23" i="17"/>
  <c r="H23" i="17"/>
  <c r="D24" i="17"/>
  <c r="E24" i="17"/>
  <c r="F24" i="17"/>
  <c r="G24" i="17"/>
  <c r="H24" i="17"/>
  <c r="D25" i="17"/>
  <c r="E25" i="17"/>
  <c r="F25" i="17"/>
  <c r="G25" i="17"/>
  <c r="H25" i="17"/>
  <c r="D26" i="17"/>
  <c r="E26" i="17"/>
  <c r="F26" i="17"/>
  <c r="G26" i="17"/>
  <c r="H26" i="17"/>
  <c r="D27" i="17"/>
  <c r="E27" i="17"/>
  <c r="F27" i="17"/>
  <c r="G27" i="17"/>
  <c r="H27" i="17"/>
  <c r="D28" i="17"/>
  <c r="E28" i="17"/>
  <c r="F28" i="17"/>
  <c r="G28" i="17"/>
  <c r="H28" i="17"/>
  <c r="D29" i="17"/>
  <c r="E29" i="17"/>
  <c r="F29" i="17"/>
  <c r="G29" i="17"/>
  <c r="H29" i="17"/>
  <c r="D30" i="17"/>
  <c r="E30" i="17"/>
  <c r="F30" i="17"/>
  <c r="G30" i="17"/>
  <c r="H30" i="17"/>
  <c r="D31" i="17"/>
  <c r="E31" i="17"/>
  <c r="F31" i="17"/>
  <c r="G31" i="17"/>
  <c r="H31" i="17"/>
  <c r="D32" i="17"/>
  <c r="E32" i="17"/>
  <c r="F32" i="17"/>
  <c r="G32" i="17"/>
  <c r="H32" i="17"/>
  <c r="D33" i="17"/>
  <c r="E33" i="17"/>
  <c r="F33" i="17"/>
  <c r="G33" i="17"/>
  <c r="H33" i="17"/>
  <c r="D34" i="17"/>
  <c r="E34" i="17"/>
  <c r="F34" i="17"/>
  <c r="G34" i="17"/>
  <c r="H34" i="17"/>
  <c r="D35" i="17"/>
  <c r="E35" i="17"/>
  <c r="F35" i="17"/>
  <c r="G35" i="17"/>
  <c r="H35" i="17"/>
  <c r="D36" i="17"/>
  <c r="E36" i="17"/>
  <c r="F36" i="17"/>
  <c r="G36" i="17"/>
  <c r="H36" i="17"/>
  <c r="D37" i="17"/>
  <c r="E37" i="17"/>
  <c r="F37" i="17"/>
  <c r="G37" i="17"/>
  <c r="H37" i="17"/>
  <c r="D38" i="17"/>
  <c r="E38" i="17"/>
  <c r="F38" i="17"/>
  <c r="G38" i="17"/>
  <c r="H38" i="17"/>
  <c r="D39" i="17"/>
  <c r="E39" i="17"/>
  <c r="F39" i="17"/>
  <c r="G39" i="17"/>
  <c r="H39" i="17"/>
  <c r="D40" i="17"/>
  <c r="E40" i="17"/>
  <c r="F40" i="17"/>
  <c r="G40" i="17"/>
  <c r="H40" i="17"/>
  <c r="D41" i="17"/>
  <c r="E41" i="17"/>
  <c r="F41" i="17"/>
  <c r="G41" i="17"/>
  <c r="H41" i="17"/>
  <c r="D42" i="17"/>
  <c r="E42" i="17"/>
  <c r="F42" i="17"/>
  <c r="G42" i="17"/>
  <c r="H42" i="17"/>
  <c r="D43" i="17"/>
  <c r="E43" i="17"/>
  <c r="F43" i="17"/>
  <c r="G43" i="17"/>
  <c r="H43" i="17"/>
  <c r="D44" i="17"/>
  <c r="E44" i="17"/>
  <c r="F44" i="17"/>
  <c r="G44" i="17"/>
  <c r="H44" i="17"/>
  <c r="H5" i="17"/>
  <c r="G5" i="17"/>
  <c r="F5" i="17"/>
  <c r="E5" i="17"/>
  <c r="D5" i="17"/>
  <c r="D47" i="5" l="1"/>
  <c r="E47" i="5" s="1"/>
  <c r="D46" i="5"/>
  <c r="D45" i="5"/>
  <c r="G45" i="5" s="1"/>
  <c r="D44" i="5"/>
  <c r="E44" i="5" s="1"/>
  <c r="D43" i="5"/>
  <c r="F43" i="5" s="1"/>
  <c r="D42" i="5"/>
  <c r="E42" i="5" s="1"/>
  <c r="D41" i="5"/>
  <c r="H41" i="5" s="1"/>
  <c r="D6" i="19"/>
  <c r="E6" i="19"/>
  <c r="F6" i="19"/>
  <c r="G6" i="19"/>
  <c r="H6" i="19"/>
  <c r="D7" i="19"/>
  <c r="E7" i="19"/>
  <c r="F7" i="19"/>
  <c r="G7" i="19"/>
  <c r="H7" i="19"/>
  <c r="D8" i="19"/>
  <c r="E8" i="19"/>
  <c r="F8" i="19"/>
  <c r="G8" i="19"/>
  <c r="H8" i="19"/>
  <c r="D9" i="19"/>
  <c r="E9" i="19"/>
  <c r="F9" i="19"/>
  <c r="G9" i="19"/>
  <c r="H9" i="19"/>
  <c r="D10" i="19"/>
  <c r="E10" i="19"/>
  <c r="F10" i="19"/>
  <c r="G10" i="19"/>
  <c r="H10" i="19"/>
  <c r="D11" i="19"/>
  <c r="E11" i="19"/>
  <c r="F11" i="19"/>
  <c r="G11" i="19"/>
  <c r="H11" i="19"/>
  <c r="D12" i="19"/>
  <c r="E12" i="19"/>
  <c r="F12" i="19"/>
  <c r="G12" i="19"/>
  <c r="H12" i="19"/>
  <c r="D13" i="19"/>
  <c r="E13" i="19"/>
  <c r="F13" i="19"/>
  <c r="G13" i="19"/>
  <c r="H13" i="19"/>
  <c r="D14" i="19"/>
  <c r="E14" i="19"/>
  <c r="F14" i="19"/>
  <c r="G14" i="19"/>
  <c r="H14" i="19"/>
  <c r="D15" i="19"/>
  <c r="E15" i="19"/>
  <c r="F15" i="19"/>
  <c r="G15" i="19"/>
  <c r="H15" i="19"/>
  <c r="D16" i="19"/>
  <c r="E16" i="19"/>
  <c r="F16" i="19"/>
  <c r="G16" i="19"/>
  <c r="H16" i="19"/>
  <c r="D17" i="19"/>
  <c r="E17" i="19"/>
  <c r="F17" i="19"/>
  <c r="G17" i="19"/>
  <c r="H17" i="19"/>
  <c r="D18" i="19"/>
  <c r="E18" i="19"/>
  <c r="F18" i="19"/>
  <c r="G18" i="19"/>
  <c r="H18" i="19"/>
  <c r="D19" i="19"/>
  <c r="E19" i="19"/>
  <c r="F19" i="19"/>
  <c r="G19" i="19"/>
  <c r="H19" i="19"/>
  <c r="D20" i="19"/>
  <c r="E20" i="19"/>
  <c r="F20" i="19"/>
  <c r="G20" i="19"/>
  <c r="H20" i="19"/>
  <c r="D21" i="19"/>
  <c r="E21" i="19"/>
  <c r="F21" i="19"/>
  <c r="G21" i="19"/>
  <c r="H21" i="19"/>
  <c r="D22" i="19"/>
  <c r="E22" i="19"/>
  <c r="F22" i="19"/>
  <c r="G22" i="19"/>
  <c r="H22" i="19"/>
  <c r="D23" i="19"/>
  <c r="E23" i="19"/>
  <c r="F23" i="19"/>
  <c r="G23" i="19"/>
  <c r="H23" i="19"/>
  <c r="D24" i="19"/>
  <c r="E24" i="19"/>
  <c r="F24" i="19"/>
  <c r="G24" i="19"/>
  <c r="H24" i="19"/>
  <c r="D25" i="19"/>
  <c r="E25" i="19"/>
  <c r="F25" i="19"/>
  <c r="G25" i="19"/>
  <c r="H25" i="19"/>
  <c r="D26" i="19"/>
  <c r="E26" i="19"/>
  <c r="F26" i="19"/>
  <c r="G26" i="19"/>
  <c r="H26" i="19"/>
  <c r="D27" i="19"/>
  <c r="E27" i="19"/>
  <c r="F27" i="19"/>
  <c r="G27" i="19"/>
  <c r="H27" i="19"/>
  <c r="D28" i="19"/>
  <c r="E28" i="19"/>
  <c r="F28" i="19"/>
  <c r="G28" i="19"/>
  <c r="H28" i="19"/>
  <c r="D29" i="19"/>
  <c r="E29" i="19"/>
  <c r="F29" i="19"/>
  <c r="G29" i="19"/>
  <c r="H29" i="19"/>
  <c r="D30" i="19"/>
  <c r="E30" i="19"/>
  <c r="F30" i="19"/>
  <c r="G30" i="19"/>
  <c r="H30" i="19"/>
  <c r="D31" i="19"/>
  <c r="E31" i="19"/>
  <c r="F31" i="19"/>
  <c r="G31" i="19"/>
  <c r="H31" i="19"/>
  <c r="D32" i="19"/>
  <c r="E32" i="19"/>
  <c r="F32" i="19"/>
  <c r="G32" i="19"/>
  <c r="H32" i="19"/>
  <c r="D33" i="19"/>
  <c r="E33" i="19"/>
  <c r="F33" i="19"/>
  <c r="G33" i="19"/>
  <c r="H33" i="19"/>
  <c r="D34" i="19"/>
  <c r="E34" i="19"/>
  <c r="F34" i="19"/>
  <c r="G34" i="19"/>
  <c r="H34" i="19"/>
  <c r="D35" i="19"/>
  <c r="E35" i="19"/>
  <c r="F35" i="19"/>
  <c r="G35" i="19"/>
  <c r="H35" i="19"/>
  <c r="D36" i="19"/>
  <c r="E36" i="19"/>
  <c r="F36" i="19"/>
  <c r="G36" i="19"/>
  <c r="H36" i="19"/>
  <c r="D37" i="19"/>
  <c r="E37" i="19"/>
  <c r="F37" i="19"/>
  <c r="G37" i="19"/>
  <c r="H37" i="19"/>
  <c r="D38" i="19"/>
  <c r="E38" i="19"/>
  <c r="F38" i="19"/>
  <c r="G38" i="19"/>
  <c r="H38" i="19"/>
  <c r="D39" i="19"/>
  <c r="E39" i="19"/>
  <c r="F39" i="19"/>
  <c r="G39" i="19"/>
  <c r="H39" i="19"/>
  <c r="D40" i="19"/>
  <c r="E40" i="19"/>
  <c r="F40" i="19"/>
  <c r="G40" i="19"/>
  <c r="H40" i="19"/>
  <c r="D41" i="19"/>
  <c r="E41" i="19"/>
  <c r="F41" i="19"/>
  <c r="G41" i="19"/>
  <c r="H41" i="19"/>
  <c r="D42" i="19"/>
  <c r="E42" i="19"/>
  <c r="F42" i="19"/>
  <c r="G42" i="19"/>
  <c r="H42" i="19"/>
  <c r="D43" i="19"/>
  <c r="E43" i="19"/>
  <c r="F43" i="19"/>
  <c r="G43" i="19"/>
  <c r="H43" i="19"/>
  <c r="D44" i="19"/>
  <c r="E44" i="19"/>
  <c r="F44" i="19"/>
  <c r="G44" i="19"/>
  <c r="H44" i="19"/>
  <c r="D45" i="19"/>
  <c r="E45" i="19"/>
  <c r="F45" i="19"/>
  <c r="G45" i="19"/>
  <c r="H45" i="19"/>
  <c r="D46" i="19"/>
  <c r="E46" i="19"/>
  <c r="F46" i="19"/>
  <c r="G46" i="19"/>
  <c r="H46" i="19"/>
  <c r="D47" i="19"/>
  <c r="E47" i="19"/>
  <c r="F47" i="19"/>
  <c r="G47" i="19"/>
  <c r="H47" i="19"/>
  <c r="D48" i="19"/>
  <c r="E48" i="19"/>
  <c r="F48" i="19"/>
  <c r="G48" i="19"/>
  <c r="H48" i="19"/>
  <c r="D49" i="19"/>
  <c r="E49" i="19"/>
  <c r="F49" i="19"/>
  <c r="G49" i="19"/>
  <c r="H49" i="19"/>
  <c r="D50" i="19"/>
  <c r="E50" i="19"/>
  <c r="F50" i="19"/>
  <c r="G50" i="19"/>
  <c r="H50" i="19"/>
  <c r="D51" i="19"/>
  <c r="E51" i="19"/>
  <c r="F51" i="19"/>
  <c r="G51" i="19"/>
  <c r="H51" i="19"/>
  <c r="D52" i="19"/>
  <c r="E52" i="19"/>
  <c r="F52" i="19"/>
  <c r="G52" i="19"/>
  <c r="H52" i="19"/>
  <c r="D53" i="19"/>
  <c r="E53" i="19"/>
  <c r="F53" i="19"/>
  <c r="G53" i="19"/>
  <c r="H53" i="19"/>
  <c r="D54" i="19"/>
  <c r="E54" i="19"/>
  <c r="F54" i="19"/>
  <c r="G54" i="19"/>
  <c r="H54" i="19"/>
  <c r="D55" i="19"/>
  <c r="E55" i="19"/>
  <c r="F55" i="19"/>
  <c r="G55" i="19"/>
  <c r="H55" i="19"/>
  <c r="D56" i="19"/>
  <c r="E56" i="19"/>
  <c r="F56" i="19"/>
  <c r="G56" i="19"/>
  <c r="H56" i="19"/>
  <c r="D57" i="19"/>
  <c r="E57" i="19"/>
  <c r="F57" i="19"/>
  <c r="G57" i="19"/>
  <c r="H57" i="19"/>
  <c r="D58" i="19"/>
  <c r="E58" i="19"/>
  <c r="F58" i="19"/>
  <c r="G58" i="19"/>
  <c r="H58" i="19"/>
  <c r="D59" i="19"/>
  <c r="E59" i="19"/>
  <c r="F59" i="19"/>
  <c r="G59" i="19"/>
  <c r="H59" i="19"/>
  <c r="D60" i="19"/>
  <c r="E60" i="19"/>
  <c r="F60" i="19"/>
  <c r="G60" i="19"/>
  <c r="H60" i="19"/>
  <c r="D61" i="19"/>
  <c r="E61" i="19"/>
  <c r="F61" i="19"/>
  <c r="G61" i="19"/>
  <c r="H61" i="19"/>
  <c r="D62" i="19"/>
  <c r="E62" i="19"/>
  <c r="F62" i="19"/>
  <c r="G62" i="19"/>
  <c r="H62" i="19"/>
  <c r="D63" i="19"/>
  <c r="E63" i="19"/>
  <c r="F63" i="19"/>
  <c r="G63" i="19"/>
  <c r="H63" i="19"/>
  <c r="D64" i="19"/>
  <c r="E64" i="19"/>
  <c r="F64" i="19"/>
  <c r="G64" i="19"/>
  <c r="H64" i="19"/>
  <c r="D65" i="19"/>
  <c r="E65" i="19"/>
  <c r="F65" i="19"/>
  <c r="G65" i="19"/>
  <c r="H65" i="19"/>
  <c r="D66" i="19"/>
  <c r="E66" i="19"/>
  <c r="F66" i="19"/>
  <c r="G66" i="19"/>
  <c r="H66" i="19"/>
  <c r="D67" i="19"/>
  <c r="E67" i="19"/>
  <c r="F67" i="19"/>
  <c r="G67" i="19"/>
  <c r="H67" i="19"/>
  <c r="D68" i="19"/>
  <c r="E68" i="19"/>
  <c r="F68" i="19"/>
  <c r="G68" i="19"/>
  <c r="H68" i="19"/>
  <c r="D69" i="19"/>
  <c r="E69" i="19"/>
  <c r="F69" i="19"/>
  <c r="G69" i="19"/>
  <c r="H69" i="19"/>
  <c r="D70" i="19"/>
  <c r="E70" i="19"/>
  <c r="F70" i="19"/>
  <c r="G70" i="19"/>
  <c r="H70" i="19"/>
  <c r="D71" i="19"/>
  <c r="E71" i="19"/>
  <c r="F71" i="19"/>
  <c r="G71" i="19"/>
  <c r="H71" i="19"/>
  <c r="D72" i="19"/>
  <c r="E72" i="19"/>
  <c r="F72" i="19"/>
  <c r="G72" i="19"/>
  <c r="H72" i="19"/>
  <c r="D73" i="19"/>
  <c r="E73" i="19"/>
  <c r="F73" i="19"/>
  <c r="G73" i="19"/>
  <c r="H73" i="19"/>
  <c r="D74" i="19"/>
  <c r="E74" i="19"/>
  <c r="F74" i="19"/>
  <c r="G74" i="19"/>
  <c r="H74" i="19"/>
  <c r="D75" i="19"/>
  <c r="E75" i="19"/>
  <c r="F75" i="19"/>
  <c r="G75" i="19"/>
  <c r="H75" i="19"/>
  <c r="D76" i="19"/>
  <c r="E76" i="19"/>
  <c r="F76" i="19"/>
  <c r="G76" i="19"/>
  <c r="H76" i="19"/>
  <c r="D77" i="19"/>
  <c r="E77" i="19"/>
  <c r="F77" i="19"/>
  <c r="G77" i="19"/>
  <c r="H77" i="19"/>
  <c r="D78" i="19"/>
  <c r="E78" i="19"/>
  <c r="F78" i="19"/>
  <c r="G78" i="19"/>
  <c r="H78" i="19"/>
  <c r="D79" i="19"/>
  <c r="E79" i="19"/>
  <c r="F79" i="19"/>
  <c r="G79" i="19"/>
  <c r="H79" i="19"/>
  <c r="D80" i="19"/>
  <c r="E80" i="19"/>
  <c r="F80" i="19"/>
  <c r="G80" i="19"/>
  <c r="H80" i="19"/>
  <c r="D81" i="19"/>
  <c r="E81" i="19"/>
  <c r="F81" i="19"/>
  <c r="G81" i="19"/>
  <c r="H81" i="19"/>
  <c r="D82" i="19"/>
  <c r="E82" i="19"/>
  <c r="F82" i="19"/>
  <c r="G82" i="19"/>
  <c r="H82" i="19"/>
  <c r="D83" i="19"/>
  <c r="E83" i="19"/>
  <c r="F83" i="19"/>
  <c r="G83" i="19"/>
  <c r="H83" i="19"/>
  <c r="D84" i="19"/>
  <c r="E84" i="19"/>
  <c r="F84" i="19"/>
  <c r="G84" i="19"/>
  <c r="H84" i="19"/>
  <c r="D85" i="19"/>
  <c r="E85" i="19"/>
  <c r="F85" i="19"/>
  <c r="G85" i="19"/>
  <c r="H85" i="19"/>
  <c r="D86" i="19"/>
  <c r="E86" i="19"/>
  <c r="F86" i="19"/>
  <c r="G86" i="19"/>
  <c r="H86" i="19"/>
  <c r="D87" i="19"/>
  <c r="E87" i="19"/>
  <c r="F87" i="19"/>
  <c r="G87" i="19"/>
  <c r="H87" i="19"/>
  <c r="D88" i="19"/>
  <c r="E88" i="19"/>
  <c r="F88" i="19"/>
  <c r="G88" i="19"/>
  <c r="H88" i="19"/>
  <c r="D89" i="19"/>
  <c r="E89" i="19"/>
  <c r="F89" i="19"/>
  <c r="G89" i="19"/>
  <c r="H89" i="19"/>
  <c r="D90" i="19"/>
  <c r="E90" i="19"/>
  <c r="F90" i="19"/>
  <c r="G90" i="19"/>
  <c r="H90" i="19"/>
  <c r="D91" i="19"/>
  <c r="E91" i="19"/>
  <c r="F91" i="19"/>
  <c r="G91" i="19"/>
  <c r="H91" i="19"/>
  <c r="D92" i="19"/>
  <c r="E92" i="19"/>
  <c r="F92" i="19"/>
  <c r="G92" i="19"/>
  <c r="H92" i="19"/>
  <c r="D93" i="19"/>
  <c r="E93" i="19"/>
  <c r="F93" i="19"/>
  <c r="G93" i="19"/>
  <c r="H93" i="19"/>
  <c r="D94" i="19"/>
  <c r="E94" i="19"/>
  <c r="F94" i="19"/>
  <c r="G94" i="19"/>
  <c r="H94" i="19"/>
  <c r="D95" i="19"/>
  <c r="E95" i="19"/>
  <c r="F95" i="19"/>
  <c r="G95" i="19"/>
  <c r="H95" i="19"/>
  <c r="D96" i="19"/>
  <c r="E96" i="19"/>
  <c r="F96" i="19"/>
  <c r="G96" i="19"/>
  <c r="H96" i="19"/>
  <c r="D97" i="19"/>
  <c r="E97" i="19"/>
  <c r="F97" i="19"/>
  <c r="G97" i="19"/>
  <c r="H97" i="19"/>
  <c r="D98" i="19"/>
  <c r="E98" i="19"/>
  <c r="F98" i="19"/>
  <c r="G98" i="19"/>
  <c r="H98" i="19"/>
  <c r="D99" i="19"/>
  <c r="E99" i="19"/>
  <c r="F99" i="19"/>
  <c r="G99" i="19"/>
  <c r="H99" i="19"/>
  <c r="D100" i="19"/>
  <c r="E100" i="19"/>
  <c r="F100" i="19"/>
  <c r="G100" i="19"/>
  <c r="H100" i="19"/>
  <c r="D101" i="19"/>
  <c r="E101" i="19"/>
  <c r="F101" i="19"/>
  <c r="G101" i="19"/>
  <c r="H101" i="19"/>
  <c r="D102" i="19"/>
  <c r="E102" i="19"/>
  <c r="F102" i="19"/>
  <c r="G102" i="19"/>
  <c r="H102" i="19"/>
  <c r="D103" i="19"/>
  <c r="E103" i="19"/>
  <c r="F103" i="19"/>
  <c r="G103" i="19"/>
  <c r="H103" i="19"/>
  <c r="D104" i="19"/>
  <c r="E104" i="19"/>
  <c r="F104" i="19"/>
  <c r="G104" i="19"/>
  <c r="H104" i="19"/>
  <c r="D105" i="19"/>
  <c r="E105" i="19"/>
  <c r="F105" i="19"/>
  <c r="G105" i="19"/>
  <c r="H105" i="19"/>
  <c r="D106" i="19"/>
  <c r="E106" i="19"/>
  <c r="F106" i="19"/>
  <c r="G106" i="19"/>
  <c r="H106" i="19"/>
  <c r="D107" i="19"/>
  <c r="E107" i="19"/>
  <c r="F107" i="19"/>
  <c r="G107" i="19"/>
  <c r="H107" i="19"/>
  <c r="D108" i="19"/>
  <c r="E108" i="19"/>
  <c r="F108" i="19"/>
  <c r="G108" i="19"/>
  <c r="H108" i="19"/>
  <c r="D109" i="19"/>
  <c r="E109" i="19"/>
  <c r="F109" i="19"/>
  <c r="G109" i="19"/>
  <c r="H109" i="19"/>
  <c r="D110" i="19"/>
  <c r="E110" i="19"/>
  <c r="F110" i="19"/>
  <c r="G110" i="19"/>
  <c r="H110" i="19"/>
  <c r="D111" i="19"/>
  <c r="E111" i="19"/>
  <c r="F111" i="19"/>
  <c r="G111" i="19"/>
  <c r="H111" i="19"/>
  <c r="D112" i="19"/>
  <c r="E112" i="19"/>
  <c r="F112" i="19"/>
  <c r="G112" i="19"/>
  <c r="H112" i="19"/>
  <c r="D113" i="19"/>
  <c r="E113" i="19"/>
  <c r="F113" i="19"/>
  <c r="G113" i="19"/>
  <c r="H113" i="19"/>
  <c r="D114" i="19"/>
  <c r="E114" i="19"/>
  <c r="F114" i="19"/>
  <c r="G114" i="19"/>
  <c r="H114" i="19"/>
  <c r="D115" i="19"/>
  <c r="E115" i="19"/>
  <c r="F115" i="19"/>
  <c r="G115" i="19"/>
  <c r="H115" i="19"/>
  <c r="D116" i="19"/>
  <c r="E116" i="19"/>
  <c r="F116" i="19"/>
  <c r="G116" i="19"/>
  <c r="H116" i="19"/>
  <c r="D117" i="19"/>
  <c r="E117" i="19"/>
  <c r="F117" i="19"/>
  <c r="G117" i="19"/>
  <c r="H117" i="19"/>
  <c r="D118" i="19"/>
  <c r="E118" i="19"/>
  <c r="F118" i="19"/>
  <c r="G118" i="19"/>
  <c r="H118" i="19"/>
  <c r="D119" i="19"/>
  <c r="E119" i="19"/>
  <c r="F119" i="19"/>
  <c r="G119" i="19"/>
  <c r="H119" i="19"/>
  <c r="D120" i="19"/>
  <c r="E120" i="19"/>
  <c r="F120" i="19"/>
  <c r="G120" i="19"/>
  <c r="H120" i="19"/>
  <c r="D121" i="19"/>
  <c r="E121" i="19"/>
  <c r="F121" i="19"/>
  <c r="G121" i="19"/>
  <c r="H121" i="19"/>
  <c r="D122" i="19"/>
  <c r="E122" i="19"/>
  <c r="F122" i="19"/>
  <c r="G122" i="19"/>
  <c r="H122" i="19"/>
  <c r="D123" i="19"/>
  <c r="E123" i="19"/>
  <c r="F123" i="19"/>
  <c r="G123" i="19"/>
  <c r="H123" i="19"/>
  <c r="D124" i="19"/>
  <c r="E124" i="19"/>
  <c r="F124" i="19"/>
  <c r="G124" i="19"/>
  <c r="H124" i="19"/>
  <c r="D125" i="19"/>
  <c r="E125" i="19"/>
  <c r="F125" i="19"/>
  <c r="G125" i="19"/>
  <c r="H125" i="19"/>
  <c r="D126" i="19"/>
  <c r="E126" i="19"/>
  <c r="F126" i="19"/>
  <c r="G126" i="19"/>
  <c r="H126" i="19"/>
  <c r="D127" i="19"/>
  <c r="E127" i="19"/>
  <c r="F127" i="19"/>
  <c r="G127" i="19"/>
  <c r="H127" i="19"/>
  <c r="D128" i="19"/>
  <c r="E128" i="19"/>
  <c r="F128" i="19"/>
  <c r="G128" i="19"/>
  <c r="H128" i="19"/>
  <c r="D129" i="19"/>
  <c r="E129" i="19"/>
  <c r="F129" i="19"/>
  <c r="G129" i="19"/>
  <c r="H129" i="19"/>
  <c r="D130" i="19"/>
  <c r="E130" i="19"/>
  <c r="F130" i="19"/>
  <c r="G130" i="19"/>
  <c r="H130" i="19"/>
  <c r="D131" i="19"/>
  <c r="E131" i="19"/>
  <c r="F131" i="19"/>
  <c r="G131" i="19"/>
  <c r="H131" i="19"/>
  <c r="D132" i="19"/>
  <c r="E132" i="19"/>
  <c r="F132" i="19"/>
  <c r="G132" i="19"/>
  <c r="H132" i="19"/>
  <c r="D133" i="19"/>
  <c r="E133" i="19"/>
  <c r="F133" i="19"/>
  <c r="G133" i="19"/>
  <c r="H133" i="19"/>
  <c r="D134" i="19"/>
  <c r="E134" i="19"/>
  <c r="F134" i="19"/>
  <c r="G134" i="19"/>
  <c r="H134" i="19"/>
  <c r="D135" i="19"/>
  <c r="E135" i="19"/>
  <c r="F135" i="19"/>
  <c r="G135" i="19"/>
  <c r="H135" i="19"/>
  <c r="D136" i="19"/>
  <c r="E136" i="19"/>
  <c r="F136" i="19"/>
  <c r="G136" i="19"/>
  <c r="H136" i="19"/>
  <c r="D137" i="19"/>
  <c r="E137" i="19"/>
  <c r="F137" i="19"/>
  <c r="G137" i="19"/>
  <c r="H137" i="19"/>
  <c r="D138" i="19"/>
  <c r="E138" i="19"/>
  <c r="F138" i="19"/>
  <c r="G138" i="19"/>
  <c r="H138" i="19"/>
  <c r="D139" i="19"/>
  <c r="E139" i="19"/>
  <c r="F139" i="19"/>
  <c r="G139" i="19"/>
  <c r="H139" i="19"/>
  <c r="D140" i="19"/>
  <c r="E140" i="19"/>
  <c r="F140" i="19"/>
  <c r="G140" i="19"/>
  <c r="H140" i="19"/>
  <c r="D141" i="19"/>
  <c r="E141" i="19"/>
  <c r="F141" i="19"/>
  <c r="G141" i="19"/>
  <c r="H141" i="19"/>
  <c r="D142" i="19"/>
  <c r="E142" i="19"/>
  <c r="F142" i="19"/>
  <c r="G142" i="19"/>
  <c r="H142" i="19"/>
  <c r="D143" i="19"/>
  <c r="E143" i="19"/>
  <c r="F143" i="19"/>
  <c r="G143" i="19"/>
  <c r="H143" i="19"/>
  <c r="D144" i="19"/>
  <c r="E144" i="19"/>
  <c r="F144" i="19"/>
  <c r="G144" i="19"/>
  <c r="H144" i="19"/>
  <c r="D145" i="19"/>
  <c r="E145" i="19"/>
  <c r="F145" i="19"/>
  <c r="G145" i="19"/>
  <c r="H145" i="19"/>
  <c r="D146" i="19"/>
  <c r="E146" i="19"/>
  <c r="F146" i="19"/>
  <c r="G146" i="19"/>
  <c r="H146" i="19"/>
  <c r="D147" i="19"/>
  <c r="E147" i="19"/>
  <c r="F147" i="19"/>
  <c r="G147" i="19"/>
  <c r="H147" i="19"/>
  <c r="D148" i="19"/>
  <c r="E148" i="19"/>
  <c r="F148" i="19"/>
  <c r="G148" i="19"/>
  <c r="H148" i="19"/>
  <c r="D149" i="19"/>
  <c r="E149" i="19"/>
  <c r="F149" i="19"/>
  <c r="G149" i="19"/>
  <c r="H149" i="19"/>
  <c r="D150" i="19"/>
  <c r="E150" i="19"/>
  <c r="F150" i="19"/>
  <c r="G150" i="19"/>
  <c r="H150" i="19"/>
  <c r="D151" i="19"/>
  <c r="E151" i="19"/>
  <c r="F151" i="19"/>
  <c r="G151" i="19"/>
  <c r="H151" i="19"/>
  <c r="D152" i="19"/>
  <c r="E152" i="19"/>
  <c r="F152" i="19"/>
  <c r="G152" i="19"/>
  <c r="H152" i="19"/>
  <c r="D153" i="19"/>
  <c r="E153" i="19"/>
  <c r="F153" i="19"/>
  <c r="G153" i="19"/>
  <c r="H153" i="19"/>
  <c r="D154" i="19"/>
  <c r="E154" i="19"/>
  <c r="F154" i="19"/>
  <c r="G154" i="19"/>
  <c r="H154" i="19"/>
  <c r="D155" i="19"/>
  <c r="E155" i="19"/>
  <c r="F155" i="19"/>
  <c r="G155" i="19"/>
  <c r="H155" i="19"/>
  <c r="D156" i="19"/>
  <c r="E156" i="19"/>
  <c r="F156" i="19"/>
  <c r="G156" i="19"/>
  <c r="H156" i="19"/>
  <c r="D157" i="19"/>
  <c r="E157" i="19"/>
  <c r="F157" i="19"/>
  <c r="G157" i="19"/>
  <c r="H157" i="19"/>
  <c r="D158" i="19"/>
  <c r="E158" i="19"/>
  <c r="F158" i="19"/>
  <c r="G158" i="19"/>
  <c r="H158" i="19"/>
  <c r="D159" i="19"/>
  <c r="E159" i="19"/>
  <c r="F159" i="19"/>
  <c r="G159" i="19"/>
  <c r="H159" i="19"/>
  <c r="D160" i="19"/>
  <c r="E160" i="19"/>
  <c r="F160" i="19"/>
  <c r="G160" i="19"/>
  <c r="H160" i="19"/>
  <c r="D161" i="19"/>
  <c r="E161" i="19"/>
  <c r="F161" i="19"/>
  <c r="G161" i="19"/>
  <c r="H161" i="19"/>
  <c r="D162" i="19"/>
  <c r="E162" i="19"/>
  <c r="F162" i="19"/>
  <c r="G162" i="19"/>
  <c r="H162" i="19"/>
  <c r="D163" i="19"/>
  <c r="E163" i="19"/>
  <c r="F163" i="19"/>
  <c r="G163" i="19"/>
  <c r="H163" i="19"/>
  <c r="D164" i="19"/>
  <c r="E164" i="19"/>
  <c r="F164" i="19"/>
  <c r="G164" i="19"/>
  <c r="H164" i="19"/>
  <c r="D165" i="19"/>
  <c r="E165" i="19"/>
  <c r="F165" i="19"/>
  <c r="G165" i="19"/>
  <c r="H165" i="19"/>
  <c r="D166" i="19"/>
  <c r="E166" i="19"/>
  <c r="F166" i="19"/>
  <c r="G166" i="19"/>
  <c r="H166" i="19"/>
  <c r="D167" i="19"/>
  <c r="E167" i="19"/>
  <c r="F167" i="19"/>
  <c r="G167" i="19"/>
  <c r="H167" i="19"/>
  <c r="D168" i="19"/>
  <c r="E168" i="19"/>
  <c r="F168" i="19"/>
  <c r="G168" i="19"/>
  <c r="H168" i="19"/>
  <c r="D169" i="19"/>
  <c r="E169" i="19"/>
  <c r="F169" i="19"/>
  <c r="G169" i="19"/>
  <c r="H169" i="19"/>
  <c r="D170" i="19"/>
  <c r="E170" i="19"/>
  <c r="F170" i="19"/>
  <c r="G170" i="19"/>
  <c r="H170" i="19"/>
  <c r="D171" i="19"/>
  <c r="E171" i="19"/>
  <c r="F171" i="19"/>
  <c r="G171" i="19"/>
  <c r="H171" i="19"/>
  <c r="D172" i="19"/>
  <c r="E172" i="19"/>
  <c r="F172" i="19"/>
  <c r="G172" i="19"/>
  <c r="H172" i="19"/>
  <c r="D173" i="19"/>
  <c r="E173" i="19"/>
  <c r="F173" i="19"/>
  <c r="G173" i="19"/>
  <c r="H173" i="19"/>
  <c r="D174" i="19"/>
  <c r="E174" i="19"/>
  <c r="F174" i="19"/>
  <c r="G174" i="19"/>
  <c r="H174" i="19"/>
  <c r="D175" i="19"/>
  <c r="E175" i="19"/>
  <c r="F175" i="19"/>
  <c r="G175" i="19"/>
  <c r="H175" i="19"/>
  <c r="D176" i="19"/>
  <c r="E176" i="19"/>
  <c r="F176" i="19"/>
  <c r="G176" i="19"/>
  <c r="H176" i="19"/>
  <c r="D177" i="19"/>
  <c r="E177" i="19"/>
  <c r="F177" i="19"/>
  <c r="G177" i="19"/>
  <c r="H177" i="19"/>
  <c r="D178" i="19"/>
  <c r="E178" i="19"/>
  <c r="F178" i="19"/>
  <c r="G178" i="19"/>
  <c r="H178" i="19"/>
  <c r="D179" i="19"/>
  <c r="E179" i="19"/>
  <c r="F179" i="19"/>
  <c r="G179" i="19"/>
  <c r="H179" i="19"/>
  <c r="D180" i="19"/>
  <c r="E180" i="19"/>
  <c r="F180" i="19"/>
  <c r="G180" i="19"/>
  <c r="H180" i="19"/>
  <c r="D181" i="19"/>
  <c r="E181" i="19"/>
  <c r="F181" i="19"/>
  <c r="G181" i="19"/>
  <c r="H181" i="19"/>
  <c r="D182" i="19"/>
  <c r="E182" i="19"/>
  <c r="F182" i="19"/>
  <c r="G182" i="19"/>
  <c r="H182" i="19"/>
  <c r="D183" i="19"/>
  <c r="E183" i="19"/>
  <c r="F183" i="19"/>
  <c r="G183" i="19"/>
  <c r="H183" i="19"/>
  <c r="D184" i="19"/>
  <c r="E184" i="19"/>
  <c r="F184" i="19"/>
  <c r="G184" i="19"/>
  <c r="H184" i="19"/>
  <c r="D185" i="19"/>
  <c r="E185" i="19"/>
  <c r="F185" i="19"/>
  <c r="G185" i="19"/>
  <c r="H185" i="19"/>
  <c r="D186" i="19"/>
  <c r="E186" i="19"/>
  <c r="F186" i="19"/>
  <c r="G186" i="19"/>
  <c r="H186" i="19"/>
  <c r="D187" i="19"/>
  <c r="E187" i="19"/>
  <c r="F187" i="19"/>
  <c r="G187" i="19"/>
  <c r="H187" i="19"/>
  <c r="D188" i="19"/>
  <c r="E188" i="19"/>
  <c r="F188" i="19"/>
  <c r="G188" i="19"/>
  <c r="H188" i="19"/>
  <c r="D189" i="19"/>
  <c r="E189" i="19"/>
  <c r="F189" i="19"/>
  <c r="G189" i="19"/>
  <c r="H189" i="19"/>
  <c r="D190" i="19"/>
  <c r="E190" i="19"/>
  <c r="F190" i="19"/>
  <c r="G190" i="19"/>
  <c r="H190" i="19"/>
  <c r="D191" i="19"/>
  <c r="E191" i="19"/>
  <c r="F191" i="19"/>
  <c r="G191" i="19"/>
  <c r="H191" i="19"/>
  <c r="D192" i="19"/>
  <c r="E192" i="19"/>
  <c r="F192" i="19"/>
  <c r="G192" i="19"/>
  <c r="H192" i="19"/>
  <c r="D193" i="19"/>
  <c r="E193" i="19"/>
  <c r="F193" i="19"/>
  <c r="G193" i="19"/>
  <c r="H193" i="19"/>
  <c r="D194" i="19"/>
  <c r="E194" i="19"/>
  <c r="F194" i="19"/>
  <c r="G194" i="19"/>
  <c r="H194" i="19"/>
  <c r="D195" i="19"/>
  <c r="E195" i="19"/>
  <c r="F195" i="19"/>
  <c r="G195" i="19"/>
  <c r="H195" i="19"/>
  <c r="D196" i="19"/>
  <c r="E196" i="19"/>
  <c r="F196" i="19"/>
  <c r="G196" i="19"/>
  <c r="H196" i="19"/>
  <c r="D197" i="19"/>
  <c r="E197" i="19"/>
  <c r="F197" i="19"/>
  <c r="G197" i="19"/>
  <c r="H197" i="19"/>
  <c r="D198" i="19"/>
  <c r="E198" i="19"/>
  <c r="F198" i="19"/>
  <c r="G198" i="19"/>
  <c r="H198" i="19"/>
  <c r="D199" i="19"/>
  <c r="E199" i="19"/>
  <c r="F199" i="19"/>
  <c r="G199" i="19"/>
  <c r="H199" i="19"/>
  <c r="D200" i="19"/>
  <c r="E200" i="19"/>
  <c r="F200" i="19"/>
  <c r="G200" i="19"/>
  <c r="H200" i="19"/>
  <c r="D201" i="19"/>
  <c r="E201" i="19"/>
  <c r="F201" i="19"/>
  <c r="G201" i="19"/>
  <c r="H201" i="19"/>
  <c r="D202" i="19"/>
  <c r="E202" i="19"/>
  <c r="F202" i="19"/>
  <c r="G202" i="19"/>
  <c r="H202" i="19"/>
  <c r="D203" i="19"/>
  <c r="E203" i="19"/>
  <c r="F203" i="19"/>
  <c r="G203" i="19"/>
  <c r="H203" i="19"/>
  <c r="D204" i="19"/>
  <c r="E204" i="19"/>
  <c r="F204" i="19"/>
  <c r="G204" i="19"/>
  <c r="H204" i="19"/>
  <c r="D205" i="19"/>
  <c r="E205" i="19"/>
  <c r="F205" i="19"/>
  <c r="G205" i="19"/>
  <c r="H205" i="19"/>
  <c r="D206" i="19"/>
  <c r="E206" i="19"/>
  <c r="F206" i="19"/>
  <c r="G206" i="19"/>
  <c r="H206" i="19"/>
  <c r="D207" i="19"/>
  <c r="E207" i="19"/>
  <c r="F207" i="19"/>
  <c r="G207" i="19"/>
  <c r="H207" i="19"/>
  <c r="D208" i="19"/>
  <c r="E208" i="19"/>
  <c r="F208" i="19"/>
  <c r="G208" i="19"/>
  <c r="H208" i="19"/>
  <c r="D209" i="19"/>
  <c r="E209" i="19"/>
  <c r="F209" i="19"/>
  <c r="G209" i="19"/>
  <c r="H209" i="19"/>
  <c r="D210" i="19"/>
  <c r="E210" i="19"/>
  <c r="F210" i="19"/>
  <c r="G210" i="19"/>
  <c r="H210" i="19"/>
  <c r="D211" i="19"/>
  <c r="E211" i="19"/>
  <c r="F211" i="19"/>
  <c r="G211" i="19"/>
  <c r="H211" i="19"/>
  <c r="D212" i="19"/>
  <c r="E212" i="19"/>
  <c r="F212" i="19"/>
  <c r="G212" i="19"/>
  <c r="H212" i="19"/>
  <c r="D213" i="19"/>
  <c r="E213" i="19"/>
  <c r="F213" i="19"/>
  <c r="G213" i="19"/>
  <c r="H213" i="19"/>
  <c r="D214" i="19"/>
  <c r="E214" i="19"/>
  <c r="F214" i="19"/>
  <c r="G214" i="19"/>
  <c r="H214" i="19"/>
  <c r="D215" i="19"/>
  <c r="E215" i="19"/>
  <c r="F215" i="19"/>
  <c r="G215" i="19"/>
  <c r="H215" i="19"/>
  <c r="D216" i="19"/>
  <c r="E216" i="19"/>
  <c r="F216" i="19"/>
  <c r="G216" i="19"/>
  <c r="H216" i="19"/>
  <c r="D217" i="19"/>
  <c r="E217" i="19"/>
  <c r="F217" i="19"/>
  <c r="G217" i="19"/>
  <c r="H217" i="19"/>
  <c r="D218" i="19"/>
  <c r="E218" i="19"/>
  <c r="F218" i="19"/>
  <c r="G218" i="19"/>
  <c r="H218" i="19"/>
  <c r="D219" i="19"/>
  <c r="E219" i="19"/>
  <c r="F219" i="19"/>
  <c r="G219" i="19"/>
  <c r="H219" i="19"/>
  <c r="D220" i="19"/>
  <c r="E220" i="19"/>
  <c r="F220" i="19"/>
  <c r="G220" i="19"/>
  <c r="H220" i="19"/>
  <c r="D221" i="19"/>
  <c r="E221" i="19"/>
  <c r="F221" i="19"/>
  <c r="G221" i="19"/>
  <c r="H221" i="19"/>
  <c r="D222" i="19"/>
  <c r="E222" i="19"/>
  <c r="F222" i="19"/>
  <c r="G222" i="19"/>
  <c r="H222" i="19"/>
  <c r="D223" i="19"/>
  <c r="E223" i="19"/>
  <c r="F223" i="19"/>
  <c r="G223" i="19"/>
  <c r="H223" i="19"/>
  <c r="D224" i="19"/>
  <c r="E224" i="19"/>
  <c r="F224" i="19"/>
  <c r="G224" i="19"/>
  <c r="H224" i="19"/>
  <c r="D225" i="19"/>
  <c r="E225" i="19"/>
  <c r="F225" i="19"/>
  <c r="G225" i="19"/>
  <c r="H225" i="19"/>
  <c r="D226" i="19"/>
  <c r="E226" i="19"/>
  <c r="F226" i="19"/>
  <c r="G226" i="19"/>
  <c r="H226" i="19"/>
  <c r="D227" i="19"/>
  <c r="E227" i="19"/>
  <c r="F227" i="19"/>
  <c r="G227" i="19"/>
  <c r="H227" i="19"/>
  <c r="D228" i="19"/>
  <c r="E228" i="19"/>
  <c r="F228" i="19"/>
  <c r="G228" i="19"/>
  <c r="H228" i="19"/>
  <c r="D229" i="19"/>
  <c r="E229" i="19"/>
  <c r="F229" i="19"/>
  <c r="G229" i="19"/>
  <c r="H229" i="19"/>
  <c r="D230" i="19"/>
  <c r="E230" i="19"/>
  <c r="F230" i="19"/>
  <c r="G230" i="19"/>
  <c r="H230" i="19"/>
  <c r="D231" i="19"/>
  <c r="E231" i="19"/>
  <c r="F231" i="19"/>
  <c r="G231" i="19"/>
  <c r="H231" i="19"/>
  <c r="D232" i="19"/>
  <c r="E232" i="19"/>
  <c r="F232" i="19"/>
  <c r="G232" i="19"/>
  <c r="H232" i="19"/>
  <c r="D233" i="19"/>
  <c r="E233" i="19"/>
  <c r="F233" i="19"/>
  <c r="G233" i="19"/>
  <c r="H233" i="19"/>
  <c r="D234" i="19"/>
  <c r="E234" i="19"/>
  <c r="F234" i="19"/>
  <c r="G234" i="19"/>
  <c r="H234" i="19"/>
  <c r="D235" i="19"/>
  <c r="E235" i="19"/>
  <c r="F235" i="19"/>
  <c r="G235" i="19"/>
  <c r="H235" i="19"/>
  <c r="D236" i="19"/>
  <c r="E236" i="19"/>
  <c r="F236" i="19"/>
  <c r="G236" i="19"/>
  <c r="H236" i="19"/>
  <c r="D237" i="19"/>
  <c r="E237" i="19"/>
  <c r="F237" i="19"/>
  <c r="G237" i="19"/>
  <c r="H237" i="19"/>
  <c r="D238" i="19"/>
  <c r="E238" i="19"/>
  <c r="F238" i="19"/>
  <c r="G238" i="19"/>
  <c r="H238" i="19"/>
  <c r="D239" i="19"/>
  <c r="E239" i="19"/>
  <c r="F239" i="19"/>
  <c r="G239" i="19"/>
  <c r="H239" i="19"/>
  <c r="D240" i="19"/>
  <c r="E240" i="19"/>
  <c r="F240" i="19"/>
  <c r="G240" i="19"/>
  <c r="H240" i="19"/>
  <c r="D241" i="19"/>
  <c r="E241" i="19"/>
  <c r="F241" i="19"/>
  <c r="G241" i="19"/>
  <c r="H241" i="19"/>
  <c r="D242" i="19"/>
  <c r="E242" i="19"/>
  <c r="F242" i="19"/>
  <c r="G242" i="19"/>
  <c r="H242" i="19"/>
  <c r="D243" i="19"/>
  <c r="E243" i="19"/>
  <c r="F243" i="19"/>
  <c r="G243" i="19"/>
  <c r="H243" i="19"/>
  <c r="D244" i="19"/>
  <c r="E244" i="19"/>
  <c r="F244" i="19"/>
  <c r="G244" i="19"/>
  <c r="H244" i="19"/>
  <c r="D245" i="19"/>
  <c r="E245" i="19"/>
  <c r="F245" i="19"/>
  <c r="G245" i="19"/>
  <c r="H245" i="19"/>
  <c r="D246" i="19"/>
  <c r="E246" i="19"/>
  <c r="F246" i="19"/>
  <c r="G246" i="19"/>
  <c r="H246" i="19"/>
  <c r="D247" i="19"/>
  <c r="E247" i="19"/>
  <c r="F247" i="19"/>
  <c r="G247" i="19"/>
  <c r="H247" i="19"/>
  <c r="D248" i="19"/>
  <c r="E248" i="19"/>
  <c r="F248" i="19"/>
  <c r="G248" i="19"/>
  <c r="H248" i="19"/>
  <c r="D249" i="19"/>
  <c r="E249" i="19"/>
  <c r="F249" i="19"/>
  <c r="G249" i="19"/>
  <c r="H249" i="19"/>
  <c r="D250" i="19"/>
  <c r="E250" i="19"/>
  <c r="F250" i="19"/>
  <c r="G250" i="19"/>
  <c r="H250" i="19"/>
  <c r="D251" i="19"/>
  <c r="E251" i="19"/>
  <c r="F251" i="19"/>
  <c r="G251" i="19"/>
  <c r="H251" i="19"/>
  <c r="D252" i="19"/>
  <c r="E252" i="19"/>
  <c r="F252" i="19"/>
  <c r="G252" i="19"/>
  <c r="H252" i="19"/>
  <c r="D253" i="19"/>
  <c r="E253" i="19"/>
  <c r="F253" i="19"/>
  <c r="G253" i="19"/>
  <c r="H253" i="19"/>
  <c r="D254" i="19"/>
  <c r="E254" i="19"/>
  <c r="F254" i="19"/>
  <c r="G254" i="19"/>
  <c r="H254" i="19"/>
  <c r="D255" i="19"/>
  <c r="E255" i="19"/>
  <c r="F255" i="19"/>
  <c r="G255" i="19"/>
  <c r="H255" i="19"/>
  <c r="D256" i="19"/>
  <c r="E256" i="19"/>
  <c r="F256" i="19"/>
  <c r="G256" i="19"/>
  <c r="H256" i="19"/>
  <c r="D257" i="19"/>
  <c r="E257" i="19"/>
  <c r="F257" i="19"/>
  <c r="G257" i="19"/>
  <c r="H257" i="19"/>
  <c r="D258" i="19"/>
  <c r="E258" i="19"/>
  <c r="F258" i="19"/>
  <c r="G258" i="19"/>
  <c r="H258" i="19"/>
  <c r="D259" i="19"/>
  <c r="E259" i="19"/>
  <c r="F259" i="19"/>
  <c r="G259" i="19"/>
  <c r="H259" i="19"/>
  <c r="D260" i="19"/>
  <c r="E260" i="19"/>
  <c r="F260" i="19"/>
  <c r="G260" i="19"/>
  <c r="H260" i="19"/>
  <c r="D261" i="19"/>
  <c r="E261" i="19"/>
  <c r="F261" i="19"/>
  <c r="G261" i="19"/>
  <c r="H261" i="19"/>
  <c r="D262" i="19"/>
  <c r="E262" i="19"/>
  <c r="F262" i="19"/>
  <c r="G262" i="19"/>
  <c r="H262" i="19"/>
  <c r="D263" i="19"/>
  <c r="E263" i="19"/>
  <c r="F263" i="19"/>
  <c r="G263" i="19"/>
  <c r="H263" i="19"/>
  <c r="D264" i="19"/>
  <c r="E264" i="19"/>
  <c r="F264" i="19"/>
  <c r="G264" i="19"/>
  <c r="H264" i="19"/>
  <c r="D265" i="19"/>
  <c r="E265" i="19"/>
  <c r="F265" i="19"/>
  <c r="G265" i="19"/>
  <c r="H265" i="19"/>
  <c r="D266" i="19"/>
  <c r="E266" i="19"/>
  <c r="F266" i="19"/>
  <c r="G266" i="19"/>
  <c r="H266" i="19"/>
  <c r="D267" i="19"/>
  <c r="E267" i="19"/>
  <c r="F267" i="19"/>
  <c r="G267" i="19"/>
  <c r="H267" i="19"/>
  <c r="D268" i="19"/>
  <c r="E268" i="19"/>
  <c r="F268" i="19"/>
  <c r="G268" i="19"/>
  <c r="H268" i="19"/>
  <c r="D269" i="19"/>
  <c r="E269" i="19"/>
  <c r="F269" i="19"/>
  <c r="G269" i="19"/>
  <c r="H269" i="19"/>
  <c r="D270" i="19"/>
  <c r="E270" i="19"/>
  <c r="F270" i="19"/>
  <c r="G270" i="19"/>
  <c r="H270" i="19"/>
  <c r="D271" i="19"/>
  <c r="E271" i="19"/>
  <c r="F271" i="19"/>
  <c r="G271" i="19"/>
  <c r="H271" i="19"/>
  <c r="D272" i="19"/>
  <c r="E272" i="19"/>
  <c r="F272" i="19"/>
  <c r="G272" i="19"/>
  <c r="H272" i="19"/>
  <c r="D273" i="19"/>
  <c r="E273" i="19"/>
  <c r="F273" i="19"/>
  <c r="G273" i="19"/>
  <c r="H273" i="19"/>
  <c r="D274" i="19"/>
  <c r="E274" i="19"/>
  <c r="F274" i="19"/>
  <c r="G274" i="19"/>
  <c r="H274" i="19"/>
  <c r="D275" i="19"/>
  <c r="E275" i="19"/>
  <c r="F275" i="19"/>
  <c r="G275" i="19"/>
  <c r="H275" i="19"/>
  <c r="D276" i="19"/>
  <c r="E276" i="19"/>
  <c r="F276" i="19"/>
  <c r="G276" i="19"/>
  <c r="H276" i="19"/>
  <c r="D277" i="19"/>
  <c r="E277" i="19"/>
  <c r="F277" i="19"/>
  <c r="G277" i="19"/>
  <c r="H277" i="19"/>
  <c r="D278" i="19"/>
  <c r="E278" i="19"/>
  <c r="F278" i="19"/>
  <c r="G278" i="19"/>
  <c r="H278" i="19"/>
  <c r="D279" i="19"/>
  <c r="E279" i="19"/>
  <c r="F279" i="19"/>
  <c r="G279" i="19"/>
  <c r="H279" i="19"/>
  <c r="D280" i="19"/>
  <c r="E280" i="19"/>
  <c r="F280" i="19"/>
  <c r="G280" i="19"/>
  <c r="H280" i="19"/>
  <c r="D281" i="19"/>
  <c r="E281" i="19"/>
  <c r="F281" i="19"/>
  <c r="G281" i="19"/>
  <c r="H281" i="19"/>
  <c r="D282" i="19"/>
  <c r="E282" i="19"/>
  <c r="F282" i="19"/>
  <c r="G282" i="19"/>
  <c r="H282" i="19"/>
  <c r="D283" i="19"/>
  <c r="E283" i="19"/>
  <c r="F283" i="19"/>
  <c r="G283" i="19"/>
  <c r="H283" i="19"/>
  <c r="D284" i="19"/>
  <c r="E284" i="19"/>
  <c r="F284" i="19"/>
  <c r="G284" i="19"/>
  <c r="H284" i="19"/>
  <c r="D285" i="19"/>
  <c r="E285" i="19"/>
  <c r="F285" i="19"/>
  <c r="G285" i="19"/>
  <c r="H285" i="19"/>
  <c r="D286" i="19"/>
  <c r="E286" i="19"/>
  <c r="F286" i="19"/>
  <c r="G286" i="19"/>
  <c r="H286" i="19"/>
  <c r="D287" i="19"/>
  <c r="E287" i="19"/>
  <c r="F287" i="19"/>
  <c r="G287" i="19"/>
  <c r="H287" i="19"/>
  <c r="D288" i="19"/>
  <c r="E288" i="19"/>
  <c r="F288" i="19"/>
  <c r="G288" i="19"/>
  <c r="H288" i="19"/>
  <c r="D289" i="19"/>
  <c r="E289" i="19"/>
  <c r="F289" i="19"/>
  <c r="G289" i="19"/>
  <c r="H289" i="19"/>
  <c r="D290" i="19"/>
  <c r="E290" i="19"/>
  <c r="F290" i="19"/>
  <c r="G290" i="19"/>
  <c r="H290" i="19"/>
  <c r="D291" i="19"/>
  <c r="E291" i="19"/>
  <c r="F291" i="19"/>
  <c r="G291" i="19"/>
  <c r="H291" i="19"/>
  <c r="D292" i="19"/>
  <c r="E292" i="19"/>
  <c r="F292" i="19"/>
  <c r="G292" i="19"/>
  <c r="H292" i="19"/>
  <c r="D293" i="19"/>
  <c r="E293" i="19"/>
  <c r="F293" i="19"/>
  <c r="G293" i="19"/>
  <c r="H293" i="19"/>
  <c r="D294" i="19"/>
  <c r="E294" i="19"/>
  <c r="F294" i="19"/>
  <c r="G294" i="19"/>
  <c r="H294" i="19"/>
  <c r="D295" i="19"/>
  <c r="E295" i="19"/>
  <c r="F295" i="19"/>
  <c r="G295" i="19"/>
  <c r="H295" i="19"/>
  <c r="D296" i="19"/>
  <c r="E296" i="19"/>
  <c r="F296" i="19"/>
  <c r="G296" i="19"/>
  <c r="H296" i="19"/>
  <c r="D297" i="19"/>
  <c r="E297" i="19"/>
  <c r="F297" i="19"/>
  <c r="G297" i="19"/>
  <c r="H297" i="19"/>
  <c r="D298" i="19"/>
  <c r="E298" i="19"/>
  <c r="F298" i="19"/>
  <c r="G298" i="19"/>
  <c r="H298" i="19"/>
  <c r="D299" i="19"/>
  <c r="E299" i="19"/>
  <c r="F299" i="19"/>
  <c r="G299" i="19"/>
  <c r="H299" i="19"/>
  <c r="D300" i="19"/>
  <c r="E300" i="19"/>
  <c r="F300" i="19"/>
  <c r="G300" i="19"/>
  <c r="H300" i="19"/>
  <c r="D301" i="19"/>
  <c r="E301" i="19"/>
  <c r="F301" i="19"/>
  <c r="G301" i="19"/>
  <c r="H301" i="19"/>
  <c r="D302" i="19"/>
  <c r="E302" i="19"/>
  <c r="F302" i="19"/>
  <c r="G302" i="19"/>
  <c r="H302" i="19"/>
  <c r="D303" i="19"/>
  <c r="E303" i="19"/>
  <c r="F303" i="19"/>
  <c r="G303" i="19"/>
  <c r="H303" i="19"/>
  <c r="D304" i="19"/>
  <c r="E304" i="19"/>
  <c r="F304" i="19"/>
  <c r="G304" i="19"/>
  <c r="H304" i="19"/>
  <c r="D305" i="19"/>
  <c r="E305" i="19"/>
  <c r="F305" i="19"/>
  <c r="G305" i="19"/>
  <c r="H305" i="19"/>
  <c r="D306" i="19"/>
  <c r="E306" i="19"/>
  <c r="F306" i="19"/>
  <c r="G306" i="19"/>
  <c r="H306" i="19"/>
  <c r="D307" i="19"/>
  <c r="E307" i="19"/>
  <c r="F307" i="19"/>
  <c r="G307" i="19"/>
  <c r="H307" i="19"/>
  <c r="D308" i="19"/>
  <c r="E308" i="19"/>
  <c r="F308" i="19"/>
  <c r="G308" i="19"/>
  <c r="H308" i="19"/>
  <c r="D309" i="19"/>
  <c r="E309" i="19"/>
  <c r="F309" i="19"/>
  <c r="G309" i="19"/>
  <c r="H309" i="19"/>
  <c r="D310" i="19"/>
  <c r="E310" i="19"/>
  <c r="F310" i="19"/>
  <c r="G310" i="19"/>
  <c r="H310" i="19"/>
  <c r="D311" i="19"/>
  <c r="E311" i="19"/>
  <c r="F311" i="19"/>
  <c r="G311" i="19"/>
  <c r="H311" i="19"/>
  <c r="D312" i="19"/>
  <c r="E312" i="19"/>
  <c r="F312" i="19"/>
  <c r="G312" i="19"/>
  <c r="H312" i="19"/>
  <c r="D313" i="19"/>
  <c r="E313" i="19"/>
  <c r="F313" i="19"/>
  <c r="G313" i="19"/>
  <c r="H313" i="19"/>
  <c r="D314" i="19"/>
  <c r="E314" i="19"/>
  <c r="F314" i="19"/>
  <c r="G314" i="19"/>
  <c r="H314" i="19"/>
  <c r="D315" i="19"/>
  <c r="E315" i="19"/>
  <c r="F315" i="19"/>
  <c r="G315" i="19"/>
  <c r="H315" i="19"/>
  <c r="D316" i="19"/>
  <c r="E316" i="19"/>
  <c r="F316" i="19"/>
  <c r="G316" i="19"/>
  <c r="H316" i="19"/>
  <c r="D317" i="19"/>
  <c r="E317" i="19"/>
  <c r="F317" i="19"/>
  <c r="G317" i="19"/>
  <c r="H317" i="19"/>
  <c r="D318" i="19"/>
  <c r="E318" i="19"/>
  <c r="F318" i="19"/>
  <c r="G318" i="19"/>
  <c r="H318" i="19"/>
  <c r="D319" i="19"/>
  <c r="E319" i="19"/>
  <c r="F319" i="19"/>
  <c r="G319" i="19"/>
  <c r="H319" i="19"/>
  <c r="D320" i="19"/>
  <c r="E320" i="19"/>
  <c r="F320" i="19"/>
  <c r="G320" i="19"/>
  <c r="H320" i="19"/>
  <c r="D321" i="19"/>
  <c r="E321" i="19"/>
  <c r="F321" i="19"/>
  <c r="G321" i="19"/>
  <c r="H321" i="19"/>
  <c r="D322" i="19"/>
  <c r="E322" i="19"/>
  <c r="F322" i="19"/>
  <c r="G322" i="19"/>
  <c r="H322" i="19"/>
  <c r="D323" i="19"/>
  <c r="E323" i="19"/>
  <c r="F323" i="19"/>
  <c r="G323" i="19"/>
  <c r="H323" i="19"/>
  <c r="D324" i="19"/>
  <c r="E324" i="19"/>
  <c r="F324" i="19"/>
  <c r="G324" i="19"/>
  <c r="H324" i="19"/>
  <c r="D325" i="19"/>
  <c r="E325" i="19"/>
  <c r="F325" i="19"/>
  <c r="G325" i="19"/>
  <c r="H325" i="19"/>
  <c r="D326" i="19"/>
  <c r="E326" i="19"/>
  <c r="F326" i="19"/>
  <c r="G326" i="19"/>
  <c r="H326" i="19"/>
  <c r="D327" i="19"/>
  <c r="E327" i="19"/>
  <c r="F327" i="19"/>
  <c r="G327" i="19"/>
  <c r="H327" i="19"/>
  <c r="D328" i="19"/>
  <c r="E328" i="19"/>
  <c r="F328" i="19"/>
  <c r="G328" i="19"/>
  <c r="H328" i="19"/>
  <c r="D329" i="19"/>
  <c r="E329" i="19"/>
  <c r="F329" i="19"/>
  <c r="G329" i="19"/>
  <c r="H329" i="19"/>
  <c r="D330" i="19"/>
  <c r="E330" i="19"/>
  <c r="F330" i="19"/>
  <c r="G330" i="19"/>
  <c r="H330" i="19"/>
  <c r="D331" i="19"/>
  <c r="E331" i="19"/>
  <c r="F331" i="19"/>
  <c r="G331" i="19"/>
  <c r="H331" i="19"/>
  <c r="D332" i="19"/>
  <c r="E332" i="19"/>
  <c r="F332" i="19"/>
  <c r="G332" i="19"/>
  <c r="H332" i="19"/>
  <c r="D333" i="19"/>
  <c r="E333" i="19"/>
  <c r="F333" i="19"/>
  <c r="G333" i="19"/>
  <c r="H333" i="19"/>
  <c r="D334" i="19"/>
  <c r="E334" i="19"/>
  <c r="F334" i="19"/>
  <c r="G334" i="19"/>
  <c r="H334" i="19"/>
  <c r="D335" i="19"/>
  <c r="E335" i="19"/>
  <c r="F335" i="19"/>
  <c r="G335" i="19"/>
  <c r="H335" i="19"/>
  <c r="D336" i="19"/>
  <c r="E336" i="19"/>
  <c r="F336" i="19"/>
  <c r="G336" i="19"/>
  <c r="H336" i="19"/>
  <c r="D337" i="19"/>
  <c r="E337" i="19"/>
  <c r="F337" i="19"/>
  <c r="G337" i="19"/>
  <c r="H337" i="19"/>
  <c r="D338" i="19"/>
  <c r="E338" i="19"/>
  <c r="F338" i="19"/>
  <c r="G338" i="19"/>
  <c r="H338" i="19"/>
  <c r="D339" i="19"/>
  <c r="E339" i="19"/>
  <c r="F339" i="19"/>
  <c r="G339" i="19"/>
  <c r="H339" i="19"/>
  <c r="D340" i="19"/>
  <c r="E340" i="19"/>
  <c r="F340" i="19"/>
  <c r="G340" i="19"/>
  <c r="H340" i="19"/>
  <c r="D341" i="19"/>
  <c r="E341" i="19"/>
  <c r="F341" i="19"/>
  <c r="G341" i="19"/>
  <c r="H341" i="19"/>
  <c r="D342" i="19"/>
  <c r="E342" i="19"/>
  <c r="F342" i="19"/>
  <c r="G342" i="19"/>
  <c r="H342" i="19"/>
  <c r="D343" i="19"/>
  <c r="E343" i="19"/>
  <c r="F343" i="19"/>
  <c r="G343" i="19"/>
  <c r="H343" i="19"/>
  <c r="H5" i="19"/>
  <c r="G5" i="19"/>
  <c r="F5" i="19"/>
  <c r="E5" i="19"/>
  <c r="D5" i="19"/>
  <c r="E11" i="3"/>
  <c r="D271" i="3"/>
  <c r="E271" i="3"/>
  <c r="F271" i="3"/>
  <c r="G271" i="3"/>
  <c r="H271" i="3"/>
  <c r="D272" i="3"/>
  <c r="E272" i="3"/>
  <c r="F272" i="3"/>
  <c r="G272" i="3"/>
  <c r="H272" i="3"/>
  <c r="D273" i="3"/>
  <c r="E273" i="3"/>
  <c r="F273" i="3"/>
  <c r="G273" i="3"/>
  <c r="H273" i="3"/>
  <c r="D274" i="3"/>
  <c r="E274" i="3"/>
  <c r="F274" i="3"/>
  <c r="G274" i="3"/>
  <c r="H274" i="3"/>
  <c r="D275" i="3"/>
  <c r="E275" i="3"/>
  <c r="F275" i="3"/>
  <c r="G275" i="3"/>
  <c r="H275" i="3"/>
  <c r="D276" i="3"/>
  <c r="E276" i="3"/>
  <c r="F276" i="3"/>
  <c r="G276" i="3"/>
  <c r="H276" i="3"/>
  <c r="D277" i="3"/>
  <c r="E277" i="3"/>
  <c r="F277" i="3"/>
  <c r="G277" i="3"/>
  <c r="H277" i="3"/>
  <c r="D278" i="3"/>
  <c r="E278" i="3"/>
  <c r="F278" i="3"/>
  <c r="G278" i="3"/>
  <c r="H278" i="3"/>
  <c r="D279" i="3"/>
  <c r="E279" i="3"/>
  <c r="F279" i="3"/>
  <c r="G279" i="3"/>
  <c r="H279" i="3"/>
  <c r="D280" i="3"/>
  <c r="E280" i="3"/>
  <c r="F280" i="3"/>
  <c r="G280" i="3"/>
  <c r="H280" i="3"/>
  <c r="D281" i="3"/>
  <c r="E281" i="3"/>
  <c r="F281" i="3"/>
  <c r="G281" i="3"/>
  <c r="H281" i="3"/>
  <c r="D282" i="3"/>
  <c r="E282" i="3"/>
  <c r="F282" i="3"/>
  <c r="G282" i="3"/>
  <c r="H282" i="3"/>
  <c r="D283" i="3"/>
  <c r="E283" i="3"/>
  <c r="F283" i="3"/>
  <c r="G283" i="3"/>
  <c r="H283" i="3"/>
  <c r="D284" i="3"/>
  <c r="E284" i="3"/>
  <c r="F284" i="3"/>
  <c r="G284" i="3"/>
  <c r="H284" i="3"/>
  <c r="D285" i="3"/>
  <c r="E285" i="3"/>
  <c r="F285" i="3"/>
  <c r="G285" i="3"/>
  <c r="H285" i="3"/>
  <c r="D286" i="3"/>
  <c r="E286" i="3"/>
  <c r="F286" i="3"/>
  <c r="G286" i="3"/>
  <c r="H286" i="3"/>
  <c r="D287" i="3"/>
  <c r="E287" i="3"/>
  <c r="F287" i="3"/>
  <c r="G287" i="3"/>
  <c r="H287" i="3"/>
  <c r="D288" i="3"/>
  <c r="E288" i="3"/>
  <c r="F288" i="3"/>
  <c r="G288" i="3"/>
  <c r="H288" i="3"/>
  <c r="D289" i="3"/>
  <c r="E289" i="3"/>
  <c r="F289" i="3"/>
  <c r="G289" i="3"/>
  <c r="H289" i="3"/>
  <c r="D290" i="3"/>
  <c r="E290" i="3"/>
  <c r="F290" i="3"/>
  <c r="G290" i="3"/>
  <c r="H290" i="3"/>
  <c r="D291" i="3"/>
  <c r="E291" i="3"/>
  <c r="F291" i="3"/>
  <c r="G291" i="3"/>
  <c r="H291" i="3"/>
  <c r="D292" i="3"/>
  <c r="E292" i="3"/>
  <c r="F292" i="3"/>
  <c r="G292" i="3"/>
  <c r="H292" i="3"/>
  <c r="D293" i="3"/>
  <c r="E293" i="3"/>
  <c r="F293" i="3"/>
  <c r="G293" i="3"/>
  <c r="H293" i="3"/>
  <c r="D294" i="3"/>
  <c r="E294" i="3"/>
  <c r="F294" i="3"/>
  <c r="G294" i="3"/>
  <c r="H294" i="3"/>
  <c r="D295" i="3"/>
  <c r="E295" i="3"/>
  <c r="F295" i="3"/>
  <c r="G295" i="3"/>
  <c r="H295" i="3"/>
  <c r="D296" i="3"/>
  <c r="E296" i="3"/>
  <c r="F296" i="3"/>
  <c r="G296" i="3"/>
  <c r="H296" i="3"/>
  <c r="D297" i="3"/>
  <c r="E297" i="3"/>
  <c r="F297" i="3"/>
  <c r="G297" i="3"/>
  <c r="H297" i="3"/>
  <c r="D298" i="3"/>
  <c r="E298" i="3"/>
  <c r="F298" i="3"/>
  <c r="G298" i="3"/>
  <c r="H298" i="3"/>
  <c r="D299" i="3"/>
  <c r="E299" i="3"/>
  <c r="F299" i="3"/>
  <c r="G299" i="3"/>
  <c r="H299" i="3"/>
  <c r="D300" i="3"/>
  <c r="E300" i="3"/>
  <c r="F300" i="3"/>
  <c r="G300" i="3"/>
  <c r="H300" i="3"/>
  <c r="D301" i="3"/>
  <c r="E301" i="3"/>
  <c r="F301" i="3"/>
  <c r="G301" i="3"/>
  <c r="H301" i="3"/>
  <c r="D302" i="3"/>
  <c r="E302" i="3"/>
  <c r="F302" i="3"/>
  <c r="G302" i="3"/>
  <c r="H302" i="3"/>
  <c r="D303" i="3"/>
  <c r="E303" i="3"/>
  <c r="F303" i="3"/>
  <c r="G303" i="3"/>
  <c r="H303" i="3"/>
  <c r="D304" i="3"/>
  <c r="E304" i="3"/>
  <c r="F304" i="3"/>
  <c r="G304" i="3"/>
  <c r="H304" i="3"/>
  <c r="D305" i="3"/>
  <c r="E305" i="3"/>
  <c r="F305" i="3"/>
  <c r="G305" i="3"/>
  <c r="H305" i="3"/>
  <c r="D306" i="3"/>
  <c r="E306" i="3"/>
  <c r="F306" i="3"/>
  <c r="G306" i="3"/>
  <c r="H306" i="3"/>
  <c r="D307" i="3"/>
  <c r="E307" i="3"/>
  <c r="F307" i="3"/>
  <c r="G307" i="3"/>
  <c r="H307" i="3"/>
  <c r="D308" i="3"/>
  <c r="E308" i="3"/>
  <c r="F308" i="3"/>
  <c r="G308" i="3"/>
  <c r="H308" i="3"/>
  <c r="D309" i="3"/>
  <c r="E309" i="3"/>
  <c r="F309" i="3"/>
  <c r="G309" i="3"/>
  <c r="H309" i="3"/>
  <c r="D310" i="3"/>
  <c r="E310" i="3"/>
  <c r="F310" i="3"/>
  <c r="G310" i="3"/>
  <c r="H310" i="3"/>
  <c r="D312" i="3"/>
  <c r="E312" i="3"/>
  <c r="F312" i="3"/>
  <c r="G312" i="3"/>
  <c r="H312" i="3"/>
  <c r="D313" i="3"/>
  <c r="E313" i="3"/>
  <c r="F313" i="3"/>
  <c r="G313" i="3"/>
  <c r="H313" i="3"/>
  <c r="D314" i="3"/>
  <c r="E314" i="3"/>
  <c r="F314" i="3"/>
  <c r="G314" i="3"/>
  <c r="H314" i="3"/>
  <c r="D315" i="3"/>
  <c r="E315" i="3"/>
  <c r="F315" i="3"/>
  <c r="G315" i="3"/>
  <c r="H315" i="3"/>
  <c r="D316" i="3"/>
  <c r="E316" i="3"/>
  <c r="F316" i="3"/>
  <c r="G316" i="3"/>
  <c r="H316" i="3"/>
  <c r="D317" i="3"/>
  <c r="E317" i="3"/>
  <c r="F317" i="3"/>
  <c r="G317" i="3"/>
  <c r="H317" i="3"/>
  <c r="D318" i="3"/>
  <c r="E318" i="3"/>
  <c r="F318" i="3"/>
  <c r="G318" i="3"/>
  <c r="H318" i="3"/>
  <c r="D319" i="3"/>
  <c r="E319" i="3"/>
  <c r="F319" i="3"/>
  <c r="G319" i="3"/>
  <c r="H319" i="3"/>
  <c r="D320" i="3"/>
  <c r="E320" i="3"/>
  <c r="F320" i="3"/>
  <c r="G320" i="3"/>
  <c r="H320" i="3"/>
  <c r="D321" i="3"/>
  <c r="E321" i="3"/>
  <c r="F321" i="3"/>
  <c r="G321" i="3"/>
  <c r="H321" i="3"/>
  <c r="D322" i="3"/>
  <c r="E322" i="3"/>
  <c r="F322" i="3"/>
  <c r="G322" i="3"/>
  <c r="H322" i="3"/>
  <c r="D324" i="3"/>
  <c r="E324" i="3"/>
  <c r="F324" i="3"/>
  <c r="G324" i="3"/>
  <c r="H324" i="3"/>
  <c r="D325" i="3"/>
  <c r="E325" i="3"/>
  <c r="F325" i="3"/>
  <c r="G325" i="3"/>
  <c r="H325" i="3"/>
  <c r="D326" i="3"/>
  <c r="E326" i="3"/>
  <c r="F326" i="3"/>
  <c r="G326" i="3"/>
  <c r="H326" i="3"/>
  <c r="D327" i="3"/>
  <c r="E327" i="3"/>
  <c r="F327" i="3"/>
  <c r="G327" i="3"/>
  <c r="H327" i="3"/>
  <c r="D328" i="3"/>
  <c r="E328" i="3"/>
  <c r="F328" i="3"/>
  <c r="G328" i="3"/>
  <c r="H328" i="3"/>
  <c r="D329" i="3"/>
  <c r="E329" i="3"/>
  <c r="F329" i="3"/>
  <c r="G329" i="3"/>
  <c r="H329" i="3"/>
  <c r="D330" i="3"/>
  <c r="E330" i="3"/>
  <c r="F330" i="3"/>
  <c r="G330" i="3"/>
  <c r="H330" i="3"/>
  <c r="D331" i="3"/>
  <c r="E331" i="3"/>
  <c r="F331" i="3"/>
  <c r="G331" i="3"/>
  <c r="H331" i="3"/>
  <c r="D332" i="3"/>
  <c r="E332" i="3"/>
  <c r="F332" i="3"/>
  <c r="G332" i="3"/>
  <c r="H332" i="3"/>
  <c r="D333" i="3"/>
  <c r="E333" i="3"/>
  <c r="F333" i="3"/>
  <c r="G333" i="3"/>
  <c r="H333" i="3"/>
  <c r="D334" i="3"/>
  <c r="E334" i="3"/>
  <c r="F334" i="3"/>
  <c r="G334" i="3"/>
  <c r="H334" i="3"/>
  <c r="D335" i="3"/>
  <c r="E335" i="3"/>
  <c r="F335" i="3"/>
  <c r="G335" i="3"/>
  <c r="H335" i="3"/>
  <c r="D336" i="3"/>
  <c r="E336" i="3"/>
  <c r="F336" i="3"/>
  <c r="G336" i="3"/>
  <c r="H336" i="3"/>
  <c r="D337" i="3"/>
  <c r="E337" i="3"/>
  <c r="F337" i="3"/>
  <c r="G337" i="3"/>
  <c r="H337" i="3"/>
  <c r="D338" i="3"/>
  <c r="E338" i="3"/>
  <c r="F338" i="3"/>
  <c r="G338" i="3"/>
  <c r="H338" i="3"/>
  <c r="D339" i="3"/>
  <c r="E339" i="3"/>
  <c r="F339" i="3"/>
  <c r="G339" i="3"/>
  <c r="H339" i="3"/>
  <c r="D340" i="3"/>
  <c r="E340" i="3"/>
  <c r="F340" i="3"/>
  <c r="G340" i="3"/>
  <c r="H340" i="3"/>
  <c r="D341" i="3"/>
  <c r="E341" i="3"/>
  <c r="F341" i="3"/>
  <c r="G341" i="3"/>
  <c r="H341" i="3"/>
  <c r="D342" i="3"/>
  <c r="E342" i="3"/>
  <c r="F342" i="3"/>
  <c r="G342" i="3"/>
  <c r="H342" i="3"/>
  <c r="D343" i="3"/>
  <c r="E343" i="3"/>
  <c r="F343" i="3"/>
  <c r="G343" i="3"/>
  <c r="H343" i="3"/>
  <c r="D344" i="3"/>
  <c r="E344" i="3"/>
  <c r="F344" i="3"/>
  <c r="G344" i="3"/>
  <c r="H344" i="3"/>
  <c r="D345" i="3"/>
  <c r="E345" i="3"/>
  <c r="F345" i="3"/>
  <c r="G345" i="3"/>
  <c r="H345" i="3"/>
  <c r="D346" i="3"/>
  <c r="E346" i="3"/>
  <c r="F346" i="3"/>
  <c r="G346" i="3"/>
  <c r="H346" i="3"/>
  <c r="D347" i="3"/>
  <c r="E347" i="3"/>
  <c r="F347" i="3"/>
  <c r="G347" i="3"/>
  <c r="H347" i="3"/>
  <c r="D348" i="3"/>
  <c r="E348" i="3"/>
  <c r="F348" i="3"/>
  <c r="G348" i="3"/>
  <c r="H348" i="3"/>
  <c r="D349" i="3"/>
  <c r="E349" i="3"/>
  <c r="F349" i="3"/>
  <c r="G349" i="3"/>
  <c r="H349" i="3"/>
  <c r="D350" i="3"/>
  <c r="E350" i="3"/>
  <c r="F350" i="3"/>
  <c r="G350" i="3"/>
  <c r="H350" i="3"/>
  <c r="D351" i="3"/>
  <c r="E351" i="3"/>
  <c r="F351" i="3"/>
  <c r="G351" i="3"/>
  <c r="H351" i="3"/>
  <c r="D352" i="3"/>
  <c r="E352" i="3"/>
  <c r="F352" i="3"/>
  <c r="G352" i="3"/>
  <c r="H352" i="3"/>
  <c r="D353" i="3"/>
  <c r="E353" i="3"/>
  <c r="F353" i="3"/>
  <c r="G353" i="3"/>
  <c r="H353" i="3"/>
  <c r="H270" i="3"/>
  <c r="G270" i="3"/>
  <c r="F270" i="3"/>
  <c r="E270" i="3"/>
  <c r="D270" i="3"/>
  <c r="E46" i="5" l="1"/>
  <c r="G46" i="5"/>
  <c r="E41" i="5"/>
  <c r="F45" i="5"/>
  <c r="E45" i="5"/>
  <c r="H44" i="5"/>
  <c r="G44" i="5"/>
  <c r="F44" i="5"/>
  <c r="E43" i="5"/>
  <c r="H47" i="5"/>
  <c r="H45" i="5"/>
  <c r="H43" i="5"/>
  <c r="F41" i="5"/>
  <c r="G41" i="5"/>
  <c r="F46" i="5"/>
  <c r="G47" i="5"/>
  <c r="G43" i="5"/>
  <c r="F47" i="5"/>
  <c r="H46" i="5"/>
  <c r="H42" i="5"/>
  <c r="G42" i="5"/>
  <c r="F42" i="5"/>
  <c r="D175" i="3"/>
  <c r="E175" i="3"/>
  <c r="F175" i="3"/>
  <c r="G175" i="3"/>
  <c r="H175" i="3"/>
  <c r="D176" i="3"/>
  <c r="E176" i="3"/>
  <c r="F176" i="3"/>
  <c r="G176" i="3"/>
  <c r="H176" i="3"/>
  <c r="D177" i="3"/>
  <c r="E177" i="3"/>
  <c r="F177" i="3"/>
  <c r="G177" i="3"/>
  <c r="H177" i="3"/>
  <c r="D178" i="3"/>
  <c r="E178" i="3"/>
  <c r="F178" i="3"/>
  <c r="G178" i="3"/>
  <c r="H178" i="3"/>
  <c r="D179" i="3"/>
  <c r="E179" i="3"/>
  <c r="F179" i="3"/>
  <c r="G179" i="3"/>
  <c r="H179" i="3"/>
  <c r="D180" i="3"/>
  <c r="E180" i="3"/>
  <c r="F180" i="3"/>
  <c r="G180" i="3"/>
  <c r="H180" i="3"/>
  <c r="D181" i="3"/>
  <c r="E181" i="3"/>
  <c r="F181" i="3"/>
  <c r="G181" i="3"/>
  <c r="H181" i="3"/>
  <c r="D182" i="3"/>
  <c r="E182" i="3"/>
  <c r="F182" i="3"/>
  <c r="G182" i="3"/>
  <c r="H182" i="3"/>
  <c r="D183" i="3"/>
  <c r="E183" i="3"/>
  <c r="F183" i="3"/>
  <c r="G183" i="3"/>
  <c r="H183" i="3"/>
  <c r="D184" i="3"/>
  <c r="E184" i="3"/>
  <c r="F184" i="3"/>
  <c r="G184" i="3"/>
  <c r="H184" i="3"/>
  <c r="D185" i="3"/>
  <c r="E185" i="3"/>
  <c r="F185" i="3"/>
  <c r="G185" i="3"/>
  <c r="H185" i="3"/>
  <c r="D186" i="3"/>
  <c r="E186" i="3"/>
  <c r="F186" i="3"/>
  <c r="G186" i="3"/>
  <c r="H186" i="3"/>
  <c r="D187" i="3"/>
  <c r="E187" i="3"/>
  <c r="F187" i="3"/>
  <c r="G187" i="3"/>
  <c r="H187" i="3"/>
  <c r="D188" i="3"/>
  <c r="E188" i="3"/>
  <c r="F188" i="3"/>
  <c r="G188" i="3"/>
  <c r="H188" i="3"/>
  <c r="D189" i="3"/>
  <c r="E189" i="3"/>
  <c r="F189" i="3"/>
  <c r="G189" i="3"/>
  <c r="H189" i="3"/>
  <c r="D190" i="3"/>
  <c r="E190" i="3"/>
  <c r="F190" i="3"/>
  <c r="G190" i="3"/>
  <c r="H190" i="3"/>
  <c r="D191" i="3"/>
  <c r="E191" i="3"/>
  <c r="F191" i="3"/>
  <c r="G191" i="3"/>
  <c r="H191" i="3"/>
  <c r="D192" i="3"/>
  <c r="E192" i="3"/>
  <c r="F192" i="3"/>
  <c r="G192" i="3"/>
  <c r="H192" i="3"/>
  <c r="D193" i="3"/>
  <c r="E193" i="3"/>
  <c r="F193" i="3"/>
  <c r="G193" i="3"/>
  <c r="H193" i="3"/>
  <c r="D194" i="3"/>
  <c r="E194" i="3"/>
  <c r="F194" i="3"/>
  <c r="G194" i="3"/>
  <c r="H194" i="3"/>
  <c r="D195" i="3"/>
  <c r="E195" i="3"/>
  <c r="F195" i="3"/>
  <c r="G195" i="3"/>
  <c r="H195" i="3"/>
  <c r="D196" i="3"/>
  <c r="E196" i="3"/>
  <c r="F196" i="3"/>
  <c r="G196" i="3"/>
  <c r="H196" i="3"/>
  <c r="D197" i="3"/>
  <c r="E197" i="3"/>
  <c r="F197" i="3"/>
  <c r="G197" i="3"/>
  <c r="H197" i="3"/>
  <c r="D198" i="3"/>
  <c r="E198" i="3"/>
  <c r="F198" i="3"/>
  <c r="G198" i="3"/>
  <c r="H198" i="3"/>
  <c r="D199" i="3"/>
  <c r="E199" i="3"/>
  <c r="F199" i="3"/>
  <c r="G199" i="3"/>
  <c r="H199" i="3"/>
  <c r="D200" i="3"/>
  <c r="E200" i="3"/>
  <c r="F200" i="3"/>
  <c r="G200" i="3"/>
  <c r="H200" i="3"/>
  <c r="D201" i="3"/>
  <c r="E201" i="3"/>
  <c r="F201" i="3"/>
  <c r="G201" i="3"/>
  <c r="H201" i="3"/>
  <c r="D202" i="3"/>
  <c r="E202" i="3"/>
  <c r="F202" i="3"/>
  <c r="G202" i="3"/>
  <c r="H202" i="3"/>
  <c r="D203" i="3"/>
  <c r="E203" i="3"/>
  <c r="F203" i="3"/>
  <c r="G203" i="3"/>
  <c r="H203" i="3"/>
  <c r="D204" i="3"/>
  <c r="E204" i="3"/>
  <c r="F204" i="3"/>
  <c r="G204" i="3"/>
  <c r="H204" i="3"/>
  <c r="D205" i="3"/>
  <c r="E205" i="3"/>
  <c r="F205" i="3"/>
  <c r="G205" i="3"/>
  <c r="H205" i="3"/>
  <c r="D206" i="3"/>
  <c r="E206" i="3"/>
  <c r="F206" i="3"/>
  <c r="G206" i="3"/>
  <c r="H206" i="3"/>
  <c r="D207" i="3"/>
  <c r="E207" i="3"/>
  <c r="F207" i="3"/>
  <c r="G207" i="3"/>
  <c r="H207" i="3"/>
  <c r="D208" i="3"/>
  <c r="E208" i="3"/>
  <c r="F208" i="3"/>
  <c r="G208" i="3"/>
  <c r="H208" i="3"/>
  <c r="D209" i="3"/>
  <c r="E209" i="3"/>
  <c r="F209" i="3"/>
  <c r="G209" i="3"/>
  <c r="H209" i="3"/>
  <c r="D210" i="3"/>
  <c r="E210" i="3"/>
  <c r="F210" i="3"/>
  <c r="G210" i="3"/>
  <c r="H210" i="3"/>
  <c r="D211" i="3"/>
  <c r="E211" i="3"/>
  <c r="F211" i="3"/>
  <c r="G211" i="3"/>
  <c r="H211" i="3"/>
  <c r="D212" i="3"/>
  <c r="E212" i="3"/>
  <c r="F212" i="3"/>
  <c r="G212" i="3"/>
  <c r="H212" i="3"/>
  <c r="D213" i="3"/>
  <c r="E213" i="3"/>
  <c r="F213" i="3"/>
  <c r="G213" i="3"/>
  <c r="H213" i="3"/>
  <c r="D214" i="3"/>
  <c r="E214" i="3"/>
  <c r="F214" i="3"/>
  <c r="G214" i="3"/>
  <c r="H214" i="3"/>
  <c r="D215" i="3"/>
  <c r="E215" i="3"/>
  <c r="F215" i="3"/>
  <c r="G215" i="3"/>
  <c r="H215" i="3"/>
  <c r="D216" i="3"/>
  <c r="E216" i="3"/>
  <c r="F216" i="3"/>
  <c r="G216" i="3"/>
  <c r="H216" i="3"/>
  <c r="D217" i="3"/>
  <c r="E217" i="3"/>
  <c r="F217" i="3"/>
  <c r="G217" i="3"/>
  <c r="H217" i="3"/>
  <c r="D218" i="3"/>
  <c r="E218" i="3"/>
  <c r="F218" i="3"/>
  <c r="G218" i="3"/>
  <c r="H218" i="3"/>
  <c r="D219" i="3"/>
  <c r="E219" i="3"/>
  <c r="F219" i="3"/>
  <c r="G219" i="3"/>
  <c r="H219" i="3"/>
  <c r="D220" i="3"/>
  <c r="E220" i="3"/>
  <c r="F220" i="3"/>
  <c r="G220" i="3"/>
  <c r="H220" i="3"/>
  <c r="D221" i="3"/>
  <c r="E221" i="3"/>
  <c r="F221" i="3"/>
  <c r="G221" i="3"/>
  <c r="H221" i="3"/>
  <c r="D222" i="3"/>
  <c r="E222" i="3"/>
  <c r="F222" i="3"/>
  <c r="G222" i="3"/>
  <c r="H222" i="3"/>
  <c r="D223" i="3"/>
  <c r="E223" i="3"/>
  <c r="F223" i="3"/>
  <c r="G223" i="3"/>
  <c r="H223" i="3"/>
  <c r="D311" i="3"/>
  <c r="E311" i="3"/>
  <c r="F311" i="3"/>
  <c r="G311" i="3"/>
  <c r="H311" i="3"/>
  <c r="D224" i="3"/>
  <c r="E224" i="3"/>
  <c r="F224" i="3"/>
  <c r="G224" i="3"/>
  <c r="H224" i="3"/>
  <c r="D225" i="3"/>
  <c r="E225" i="3"/>
  <c r="F225" i="3"/>
  <c r="G225" i="3"/>
  <c r="H225" i="3"/>
  <c r="D226" i="3"/>
  <c r="E226" i="3"/>
  <c r="F226" i="3"/>
  <c r="G226" i="3"/>
  <c r="H226" i="3"/>
  <c r="D227" i="3"/>
  <c r="E227" i="3"/>
  <c r="F227" i="3"/>
  <c r="G227" i="3"/>
  <c r="H227" i="3"/>
  <c r="D228" i="3"/>
  <c r="E228" i="3"/>
  <c r="F228" i="3"/>
  <c r="G228" i="3"/>
  <c r="H228" i="3"/>
  <c r="D229" i="3"/>
  <c r="E229" i="3"/>
  <c r="F229" i="3"/>
  <c r="G229" i="3"/>
  <c r="H229" i="3"/>
  <c r="D230" i="3"/>
  <c r="E230" i="3"/>
  <c r="F230" i="3"/>
  <c r="G230" i="3"/>
  <c r="H230" i="3"/>
  <c r="D231" i="3"/>
  <c r="E231" i="3"/>
  <c r="F231" i="3"/>
  <c r="G231" i="3"/>
  <c r="H231" i="3"/>
  <c r="D232" i="3"/>
  <c r="E232" i="3"/>
  <c r="F232" i="3"/>
  <c r="G232" i="3"/>
  <c r="H232" i="3"/>
  <c r="D233" i="3"/>
  <c r="E233" i="3"/>
  <c r="F233" i="3"/>
  <c r="G233" i="3"/>
  <c r="H233" i="3"/>
  <c r="D234" i="3"/>
  <c r="E234" i="3"/>
  <c r="F234" i="3"/>
  <c r="G234" i="3"/>
  <c r="H234" i="3"/>
  <c r="D235" i="3"/>
  <c r="E235" i="3"/>
  <c r="F235" i="3"/>
  <c r="G235" i="3"/>
  <c r="H235" i="3"/>
  <c r="D236" i="3"/>
  <c r="E236" i="3"/>
  <c r="F236" i="3"/>
  <c r="G236" i="3"/>
  <c r="H236" i="3"/>
  <c r="D323" i="3"/>
  <c r="E323" i="3"/>
  <c r="F323" i="3"/>
  <c r="G323" i="3"/>
  <c r="H323" i="3"/>
  <c r="D237" i="3"/>
  <c r="E237" i="3"/>
  <c r="F237" i="3"/>
  <c r="G237" i="3"/>
  <c r="H237" i="3"/>
  <c r="D238" i="3"/>
  <c r="E238" i="3"/>
  <c r="F238" i="3"/>
  <c r="G238" i="3"/>
  <c r="H238" i="3"/>
  <c r="D239" i="3"/>
  <c r="E239" i="3"/>
  <c r="F239" i="3"/>
  <c r="G239" i="3"/>
  <c r="H239" i="3"/>
  <c r="D240" i="3"/>
  <c r="E240" i="3"/>
  <c r="F240" i="3"/>
  <c r="G240" i="3"/>
  <c r="H240" i="3"/>
  <c r="D241" i="3"/>
  <c r="E241" i="3"/>
  <c r="F241" i="3"/>
  <c r="G241" i="3"/>
  <c r="H241" i="3"/>
  <c r="D242" i="3"/>
  <c r="E242" i="3"/>
  <c r="F242" i="3"/>
  <c r="G242" i="3"/>
  <c r="H242" i="3"/>
  <c r="D243" i="3"/>
  <c r="E243" i="3"/>
  <c r="F243" i="3"/>
  <c r="G243" i="3"/>
  <c r="H243" i="3"/>
  <c r="D244" i="3"/>
  <c r="E244" i="3"/>
  <c r="F244" i="3"/>
  <c r="G244" i="3"/>
  <c r="H244" i="3"/>
  <c r="D245" i="3"/>
  <c r="E245" i="3"/>
  <c r="F245" i="3"/>
  <c r="G245" i="3"/>
  <c r="H245" i="3"/>
  <c r="D246" i="3"/>
  <c r="E246" i="3"/>
  <c r="F246" i="3"/>
  <c r="G246" i="3"/>
  <c r="H246" i="3"/>
  <c r="D247" i="3"/>
  <c r="E247" i="3"/>
  <c r="F247" i="3"/>
  <c r="G247" i="3"/>
  <c r="H247" i="3"/>
  <c r="D248" i="3"/>
  <c r="E248" i="3"/>
  <c r="F248" i="3"/>
  <c r="G248" i="3"/>
  <c r="H248" i="3"/>
  <c r="D249" i="3"/>
  <c r="E249" i="3"/>
  <c r="F249" i="3"/>
  <c r="G249" i="3"/>
  <c r="H249" i="3"/>
  <c r="D250" i="3"/>
  <c r="E250" i="3"/>
  <c r="F250" i="3"/>
  <c r="G250" i="3"/>
  <c r="H250" i="3"/>
  <c r="D251" i="3"/>
  <c r="E251" i="3"/>
  <c r="F251" i="3"/>
  <c r="G251" i="3"/>
  <c r="H251" i="3"/>
  <c r="D252" i="3"/>
  <c r="E252" i="3"/>
  <c r="F252" i="3"/>
  <c r="G252" i="3"/>
  <c r="H252" i="3"/>
  <c r="D253" i="3"/>
  <c r="E253" i="3"/>
  <c r="F253" i="3"/>
  <c r="G253" i="3"/>
  <c r="H253" i="3"/>
  <c r="D254" i="3"/>
  <c r="E254" i="3"/>
  <c r="F254" i="3"/>
  <c r="G254" i="3"/>
  <c r="H254" i="3"/>
  <c r="D255" i="3"/>
  <c r="E255" i="3"/>
  <c r="F255" i="3"/>
  <c r="G255" i="3"/>
  <c r="H255" i="3"/>
  <c r="D256" i="3"/>
  <c r="E256" i="3"/>
  <c r="F256" i="3"/>
  <c r="G256" i="3"/>
  <c r="H256" i="3"/>
  <c r="D257" i="3"/>
  <c r="E257" i="3"/>
  <c r="F257" i="3"/>
  <c r="G257" i="3"/>
  <c r="H257" i="3"/>
  <c r="D258" i="3"/>
  <c r="E258" i="3"/>
  <c r="F258" i="3"/>
  <c r="G258" i="3"/>
  <c r="H258" i="3"/>
  <c r="D259" i="3"/>
  <c r="E259" i="3"/>
  <c r="F259" i="3"/>
  <c r="G259" i="3"/>
  <c r="H259" i="3"/>
  <c r="D260" i="3"/>
  <c r="E260" i="3"/>
  <c r="F260" i="3"/>
  <c r="G260" i="3"/>
  <c r="H260" i="3"/>
  <c r="D261" i="3"/>
  <c r="E261" i="3"/>
  <c r="F261" i="3"/>
  <c r="G261" i="3"/>
  <c r="H261" i="3"/>
  <c r="D262" i="3"/>
  <c r="E262" i="3"/>
  <c r="F262" i="3"/>
  <c r="G262" i="3"/>
  <c r="H262" i="3"/>
  <c r="D263" i="3"/>
  <c r="E263" i="3"/>
  <c r="F263" i="3"/>
  <c r="G263" i="3"/>
  <c r="H263" i="3"/>
  <c r="D264" i="3"/>
  <c r="E264" i="3"/>
  <c r="F264" i="3"/>
  <c r="G264" i="3"/>
  <c r="H264" i="3"/>
  <c r="D265" i="3"/>
  <c r="E265" i="3"/>
  <c r="F265" i="3"/>
  <c r="G265" i="3"/>
  <c r="H265" i="3"/>
  <c r="D266" i="3"/>
  <c r="E266" i="3"/>
  <c r="F266" i="3"/>
  <c r="G266" i="3"/>
  <c r="H266" i="3"/>
  <c r="D267" i="3"/>
  <c r="E267" i="3"/>
  <c r="F267" i="3"/>
  <c r="G267" i="3"/>
  <c r="H267" i="3"/>
  <c r="H174" i="3"/>
  <c r="G174" i="3"/>
  <c r="F174" i="3"/>
  <c r="E174" i="3"/>
  <c r="D174" i="3"/>
  <c r="D149" i="3"/>
  <c r="E149" i="3"/>
  <c r="F149" i="3"/>
  <c r="G149" i="3"/>
  <c r="H149" i="3"/>
  <c r="D150" i="3"/>
  <c r="E150" i="3"/>
  <c r="F150" i="3"/>
  <c r="G150" i="3"/>
  <c r="H150" i="3"/>
  <c r="D151" i="3"/>
  <c r="E151" i="3"/>
  <c r="F151" i="3"/>
  <c r="G151" i="3"/>
  <c r="H151" i="3"/>
  <c r="D152" i="3"/>
  <c r="E152" i="3"/>
  <c r="F152" i="3"/>
  <c r="G152" i="3"/>
  <c r="H152" i="3"/>
  <c r="D153" i="3"/>
  <c r="E153" i="3"/>
  <c r="F153" i="3"/>
  <c r="G153" i="3"/>
  <c r="H153" i="3"/>
  <c r="D154" i="3"/>
  <c r="E154" i="3"/>
  <c r="F154" i="3"/>
  <c r="G154" i="3"/>
  <c r="H154" i="3"/>
  <c r="D155" i="3"/>
  <c r="E155" i="3"/>
  <c r="F155" i="3"/>
  <c r="G155" i="3"/>
  <c r="H155" i="3"/>
  <c r="D156" i="3"/>
  <c r="E156" i="3"/>
  <c r="F156" i="3"/>
  <c r="G156" i="3"/>
  <c r="H156" i="3"/>
  <c r="D157" i="3"/>
  <c r="E157" i="3"/>
  <c r="F157" i="3"/>
  <c r="G157" i="3"/>
  <c r="H157" i="3"/>
  <c r="D158" i="3"/>
  <c r="E158" i="3"/>
  <c r="F158" i="3"/>
  <c r="G158" i="3"/>
  <c r="H158" i="3"/>
  <c r="D159" i="3"/>
  <c r="E159" i="3"/>
  <c r="F159" i="3"/>
  <c r="G159" i="3"/>
  <c r="H159" i="3"/>
  <c r="D160" i="3"/>
  <c r="E160" i="3"/>
  <c r="F160" i="3"/>
  <c r="G160" i="3"/>
  <c r="H160" i="3"/>
  <c r="D161" i="3"/>
  <c r="E161" i="3"/>
  <c r="F161" i="3"/>
  <c r="G161" i="3"/>
  <c r="H161" i="3"/>
  <c r="D162" i="3"/>
  <c r="E162" i="3"/>
  <c r="F162" i="3"/>
  <c r="G162" i="3"/>
  <c r="H162" i="3"/>
  <c r="D163" i="3"/>
  <c r="E163" i="3"/>
  <c r="F163" i="3"/>
  <c r="G163" i="3"/>
  <c r="H163" i="3"/>
  <c r="D164" i="3"/>
  <c r="E164" i="3"/>
  <c r="F164" i="3"/>
  <c r="G164" i="3"/>
  <c r="H164" i="3"/>
  <c r="D165" i="3"/>
  <c r="E165" i="3"/>
  <c r="F165" i="3"/>
  <c r="G165" i="3"/>
  <c r="H165" i="3"/>
  <c r="D166" i="3"/>
  <c r="E166" i="3"/>
  <c r="F166" i="3"/>
  <c r="G166" i="3"/>
  <c r="H166" i="3"/>
  <c r="D167" i="3"/>
  <c r="E167" i="3"/>
  <c r="F167" i="3"/>
  <c r="G167" i="3"/>
  <c r="H167" i="3"/>
  <c r="D168" i="3"/>
  <c r="E168" i="3"/>
  <c r="F168" i="3"/>
  <c r="G168" i="3"/>
  <c r="H168" i="3"/>
  <c r="D169" i="3"/>
  <c r="E169" i="3"/>
  <c r="F169" i="3"/>
  <c r="G169" i="3"/>
  <c r="H169" i="3"/>
  <c r="H148" i="3"/>
  <c r="G148" i="3"/>
  <c r="F148" i="3"/>
  <c r="E148" i="3"/>
  <c r="D148" i="3"/>
  <c r="E90" i="3" l="1"/>
  <c r="F90" i="3"/>
  <c r="G90" i="3"/>
  <c r="H90" i="3"/>
  <c r="E91" i="3"/>
  <c r="F91" i="3"/>
  <c r="G91" i="3"/>
  <c r="H91" i="3"/>
  <c r="E92" i="3"/>
  <c r="F92" i="3"/>
  <c r="G92" i="3"/>
  <c r="H92" i="3"/>
  <c r="E93" i="3"/>
  <c r="F93" i="3"/>
  <c r="G93" i="3"/>
  <c r="H93" i="3"/>
  <c r="E94" i="3"/>
  <c r="F94" i="3"/>
  <c r="G94" i="3"/>
  <c r="H94" i="3"/>
  <c r="E95" i="3"/>
  <c r="F95" i="3"/>
  <c r="G95" i="3"/>
  <c r="H95" i="3"/>
  <c r="E96" i="3"/>
  <c r="F96" i="3"/>
  <c r="G96" i="3"/>
  <c r="H96" i="3"/>
  <c r="E97" i="3"/>
  <c r="F97" i="3"/>
  <c r="G97" i="3"/>
  <c r="H97" i="3"/>
  <c r="E98" i="3"/>
  <c r="F98" i="3"/>
  <c r="G98" i="3"/>
  <c r="H98" i="3"/>
  <c r="E99" i="3"/>
  <c r="F99" i="3"/>
  <c r="G99" i="3"/>
  <c r="H99" i="3"/>
  <c r="E100" i="3"/>
  <c r="F100" i="3"/>
  <c r="G100" i="3"/>
  <c r="H100" i="3"/>
  <c r="E101" i="3"/>
  <c r="F101" i="3"/>
  <c r="G101" i="3"/>
  <c r="H101" i="3"/>
  <c r="E102" i="3"/>
  <c r="F102" i="3"/>
  <c r="G102" i="3"/>
  <c r="H102" i="3"/>
  <c r="E103" i="3"/>
  <c r="F103" i="3"/>
  <c r="G103" i="3"/>
  <c r="H103" i="3"/>
  <c r="E104" i="3"/>
  <c r="F104" i="3"/>
  <c r="G104" i="3"/>
  <c r="H104" i="3"/>
  <c r="E105" i="3"/>
  <c r="F105" i="3"/>
  <c r="G105" i="3"/>
  <c r="H105" i="3"/>
  <c r="E106" i="3"/>
  <c r="F106" i="3"/>
  <c r="G106" i="3"/>
  <c r="H106" i="3"/>
  <c r="E107" i="3"/>
  <c r="F107" i="3"/>
  <c r="G107" i="3"/>
  <c r="H107" i="3"/>
  <c r="E108" i="3"/>
  <c r="F108" i="3"/>
  <c r="G108" i="3"/>
  <c r="H108" i="3"/>
  <c r="E109" i="3"/>
  <c r="F109" i="3"/>
  <c r="G109" i="3"/>
  <c r="H109" i="3"/>
  <c r="E110" i="3"/>
  <c r="F110" i="3"/>
  <c r="G110" i="3"/>
  <c r="H110" i="3"/>
  <c r="E111" i="3"/>
  <c r="F111" i="3"/>
  <c r="G111" i="3"/>
  <c r="H111" i="3"/>
  <c r="E112" i="3"/>
  <c r="F112" i="3"/>
  <c r="G112" i="3"/>
  <c r="H112" i="3"/>
  <c r="E113" i="3"/>
  <c r="F113" i="3"/>
  <c r="G113" i="3"/>
  <c r="H113" i="3"/>
  <c r="E114" i="3"/>
  <c r="F114" i="3"/>
  <c r="G114" i="3"/>
  <c r="H114" i="3"/>
  <c r="E115" i="3"/>
  <c r="F115" i="3"/>
  <c r="G115" i="3"/>
  <c r="H115" i="3"/>
  <c r="E116" i="3"/>
  <c r="F116" i="3"/>
  <c r="G116" i="3"/>
  <c r="H116" i="3"/>
  <c r="E117" i="3"/>
  <c r="F117" i="3"/>
  <c r="G117" i="3"/>
  <c r="H117" i="3"/>
  <c r="E118" i="3"/>
  <c r="F118" i="3"/>
  <c r="G118" i="3"/>
  <c r="H118" i="3"/>
  <c r="E119" i="3"/>
  <c r="F119" i="3"/>
  <c r="G119" i="3"/>
  <c r="H119" i="3"/>
  <c r="E120" i="3"/>
  <c r="F120" i="3"/>
  <c r="G120" i="3"/>
  <c r="H120" i="3"/>
  <c r="E121" i="3"/>
  <c r="F121" i="3"/>
  <c r="G121" i="3"/>
  <c r="H121" i="3"/>
  <c r="E122" i="3"/>
  <c r="F122" i="3"/>
  <c r="G122" i="3"/>
  <c r="H122" i="3"/>
  <c r="E123" i="3"/>
  <c r="F123" i="3"/>
  <c r="G123" i="3"/>
  <c r="H123" i="3"/>
  <c r="E124" i="3"/>
  <c r="F124" i="3"/>
  <c r="G124" i="3"/>
  <c r="H124" i="3"/>
  <c r="E125" i="3"/>
  <c r="F125" i="3"/>
  <c r="G125" i="3"/>
  <c r="H125" i="3"/>
  <c r="E126" i="3"/>
  <c r="F126" i="3"/>
  <c r="G126" i="3"/>
  <c r="H126" i="3"/>
  <c r="E127" i="3"/>
  <c r="F127" i="3"/>
  <c r="G127" i="3"/>
  <c r="H127" i="3"/>
  <c r="E128" i="3"/>
  <c r="F128" i="3"/>
  <c r="G128" i="3"/>
  <c r="H128" i="3"/>
  <c r="E129" i="3"/>
  <c r="F129" i="3"/>
  <c r="G129" i="3"/>
  <c r="H129" i="3"/>
  <c r="E130" i="3"/>
  <c r="F130" i="3"/>
  <c r="G130" i="3"/>
  <c r="H130" i="3"/>
  <c r="E131" i="3"/>
  <c r="F131" i="3"/>
  <c r="G131" i="3"/>
  <c r="H131" i="3"/>
  <c r="E132" i="3"/>
  <c r="F132" i="3"/>
  <c r="G132" i="3"/>
  <c r="H132" i="3"/>
  <c r="E133" i="3"/>
  <c r="F133" i="3"/>
  <c r="G133" i="3"/>
  <c r="H133" i="3"/>
  <c r="E134" i="3"/>
  <c r="F134" i="3"/>
  <c r="G134" i="3"/>
  <c r="H134" i="3"/>
  <c r="E135" i="3"/>
  <c r="F135" i="3"/>
  <c r="G135" i="3"/>
  <c r="H135" i="3"/>
  <c r="E136" i="3"/>
  <c r="F136" i="3"/>
  <c r="G136" i="3"/>
  <c r="H136" i="3"/>
  <c r="E137" i="3"/>
  <c r="F137" i="3"/>
  <c r="G137" i="3"/>
  <c r="H137" i="3"/>
  <c r="E138" i="3"/>
  <c r="F138" i="3"/>
  <c r="G138" i="3"/>
  <c r="H138" i="3"/>
  <c r="E139" i="3"/>
  <c r="F139" i="3"/>
  <c r="G139" i="3"/>
  <c r="H139" i="3"/>
  <c r="E140" i="3"/>
  <c r="F140" i="3"/>
  <c r="G140" i="3"/>
  <c r="H140" i="3"/>
  <c r="E141" i="3"/>
  <c r="F141" i="3"/>
  <c r="G141" i="3"/>
  <c r="H141" i="3"/>
  <c r="E142" i="3"/>
  <c r="F142" i="3"/>
  <c r="G142" i="3"/>
  <c r="H142" i="3"/>
  <c r="E143" i="3"/>
  <c r="F143" i="3"/>
  <c r="G143" i="3"/>
  <c r="H143" i="3"/>
  <c r="E144" i="3"/>
  <c r="F144" i="3"/>
  <c r="G144" i="3"/>
  <c r="H144" i="3"/>
  <c r="H89" i="3"/>
  <c r="G89" i="3"/>
  <c r="F89" i="3"/>
  <c r="E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89" i="3"/>
  <c r="E7" i="3"/>
  <c r="F7" i="3"/>
  <c r="G7" i="3"/>
  <c r="H7" i="3"/>
  <c r="E8" i="3"/>
  <c r="F8" i="3"/>
  <c r="G8" i="3"/>
  <c r="H8" i="3"/>
  <c r="E9" i="3"/>
  <c r="F9" i="3"/>
  <c r="G9" i="3"/>
  <c r="H9" i="3"/>
  <c r="E10" i="3"/>
  <c r="F10" i="3"/>
  <c r="G10" i="3"/>
  <c r="H10" i="3"/>
  <c r="F11" i="3"/>
  <c r="G11" i="3"/>
  <c r="H11" i="3"/>
  <c r="E12" i="3"/>
  <c r="F12" i="3"/>
  <c r="G12" i="3"/>
  <c r="H12" i="3"/>
  <c r="E13" i="3"/>
  <c r="F13" i="3"/>
  <c r="G13" i="3"/>
  <c r="H13" i="3"/>
  <c r="E14" i="3"/>
  <c r="F14" i="3"/>
  <c r="G14" i="3"/>
  <c r="H14" i="3"/>
  <c r="E15" i="3"/>
  <c r="F15" i="3"/>
  <c r="G15" i="3"/>
  <c r="H15" i="3"/>
  <c r="E16" i="3"/>
  <c r="F16" i="3"/>
  <c r="G16" i="3"/>
  <c r="H16" i="3"/>
  <c r="E17" i="3"/>
  <c r="F17" i="3"/>
  <c r="G17" i="3"/>
  <c r="H17" i="3"/>
  <c r="E18" i="3"/>
  <c r="F18" i="3"/>
  <c r="G18" i="3"/>
  <c r="H18" i="3"/>
  <c r="E19" i="3"/>
  <c r="F19" i="3"/>
  <c r="G19" i="3"/>
  <c r="H19" i="3"/>
  <c r="E20" i="3"/>
  <c r="F20" i="3"/>
  <c r="G20" i="3"/>
  <c r="H20" i="3"/>
  <c r="E21" i="3"/>
  <c r="F21" i="3"/>
  <c r="G21" i="3"/>
  <c r="H21" i="3"/>
  <c r="E22" i="3"/>
  <c r="F22" i="3"/>
  <c r="G22" i="3"/>
  <c r="H22" i="3"/>
  <c r="E23" i="3"/>
  <c r="F23" i="3"/>
  <c r="G23" i="3"/>
  <c r="H23" i="3"/>
  <c r="E24" i="3"/>
  <c r="F24" i="3"/>
  <c r="G24" i="3"/>
  <c r="H24" i="3"/>
  <c r="E25" i="3"/>
  <c r="F25" i="3"/>
  <c r="G25" i="3"/>
  <c r="H25" i="3"/>
  <c r="E26" i="3"/>
  <c r="F26" i="3"/>
  <c r="G26" i="3"/>
  <c r="H26" i="3"/>
  <c r="E27" i="3"/>
  <c r="F27" i="3"/>
  <c r="G27" i="3"/>
  <c r="H27" i="3"/>
  <c r="E28" i="3"/>
  <c r="F28" i="3"/>
  <c r="G28" i="3"/>
  <c r="H28" i="3"/>
  <c r="E29" i="3"/>
  <c r="F29" i="3"/>
  <c r="G29" i="3"/>
  <c r="H29" i="3"/>
  <c r="E30" i="3"/>
  <c r="F30" i="3"/>
  <c r="G30" i="3"/>
  <c r="H30" i="3"/>
  <c r="E31" i="3"/>
  <c r="F31" i="3"/>
  <c r="G31" i="3"/>
  <c r="H31" i="3"/>
  <c r="E32" i="3"/>
  <c r="F32" i="3"/>
  <c r="G32" i="3"/>
  <c r="H32" i="3"/>
  <c r="E33" i="3"/>
  <c r="F33" i="3"/>
  <c r="G33" i="3"/>
  <c r="H33" i="3"/>
  <c r="E34" i="3"/>
  <c r="F34" i="3"/>
  <c r="G34" i="3"/>
  <c r="H34" i="3"/>
  <c r="E35" i="3"/>
  <c r="F35" i="3"/>
  <c r="G35" i="3"/>
  <c r="H35" i="3"/>
  <c r="E36" i="3"/>
  <c r="F36" i="3"/>
  <c r="G36" i="3"/>
  <c r="H36" i="3"/>
  <c r="E37" i="3"/>
  <c r="F37" i="3"/>
  <c r="G37" i="3"/>
  <c r="H37" i="3"/>
  <c r="E38" i="3"/>
  <c r="F38" i="3"/>
  <c r="G38" i="3"/>
  <c r="H38" i="3"/>
  <c r="E39" i="3"/>
  <c r="F39" i="3"/>
  <c r="G39" i="3"/>
  <c r="H39" i="3"/>
  <c r="E40" i="3"/>
  <c r="F40" i="3"/>
  <c r="G40" i="3"/>
  <c r="H40" i="3"/>
  <c r="E41" i="3"/>
  <c r="F41" i="3"/>
  <c r="G41" i="3"/>
  <c r="H41" i="3"/>
  <c r="E42" i="3"/>
  <c r="F42" i="3"/>
  <c r="G42" i="3"/>
  <c r="H42" i="3"/>
  <c r="E43" i="3"/>
  <c r="F43" i="3"/>
  <c r="G43" i="3"/>
  <c r="H43" i="3"/>
  <c r="E44" i="3"/>
  <c r="F44" i="3"/>
  <c r="G44" i="3"/>
  <c r="H44" i="3"/>
  <c r="E45" i="3"/>
  <c r="F45" i="3"/>
  <c r="G45" i="3"/>
  <c r="H45" i="3"/>
  <c r="E46" i="3"/>
  <c r="F46" i="3"/>
  <c r="G46" i="3"/>
  <c r="H46" i="3"/>
  <c r="E47" i="3"/>
  <c r="F47" i="3"/>
  <c r="G47" i="3"/>
  <c r="H47" i="3"/>
  <c r="E48" i="3"/>
  <c r="F48" i="3"/>
  <c r="G48" i="3"/>
  <c r="H48" i="3"/>
  <c r="E49" i="3"/>
  <c r="F49" i="3"/>
  <c r="G49" i="3"/>
  <c r="H49" i="3"/>
  <c r="E50" i="3"/>
  <c r="F50" i="3"/>
  <c r="G50" i="3"/>
  <c r="H50" i="3"/>
  <c r="E51" i="3"/>
  <c r="F51" i="3"/>
  <c r="G51" i="3"/>
  <c r="H51" i="3"/>
  <c r="E52" i="3"/>
  <c r="F52" i="3"/>
  <c r="G52" i="3"/>
  <c r="H52" i="3"/>
  <c r="E53" i="3"/>
  <c r="F53" i="3"/>
  <c r="G53" i="3"/>
  <c r="H53" i="3"/>
  <c r="E54" i="3"/>
  <c r="F54" i="3"/>
  <c r="G54" i="3"/>
  <c r="H54" i="3"/>
  <c r="E55" i="3"/>
  <c r="F55" i="3"/>
  <c r="G55" i="3"/>
  <c r="H55" i="3"/>
  <c r="E56" i="3"/>
  <c r="F56" i="3"/>
  <c r="G56" i="3"/>
  <c r="H56" i="3"/>
  <c r="E57" i="3"/>
  <c r="F57" i="3"/>
  <c r="G57" i="3"/>
  <c r="H57" i="3"/>
  <c r="E58" i="3"/>
  <c r="F58" i="3"/>
  <c r="G58" i="3"/>
  <c r="H58" i="3"/>
  <c r="E59" i="3"/>
  <c r="F59" i="3"/>
  <c r="G59" i="3"/>
  <c r="H59" i="3"/>
  <c r="E60" i="3"/>
  <c r="F60" i="3"/>
  <c r="G60" i="3"/>
  <c r="H60" i="3"/>
  <c r="E61" i="3"/>
  <c r="F61" i="3"/>
  <c r="G61" i="3"/>
  <c r="H61" i="3"/>
  <c r="E62" i="3"/>
  <c r="F62" i="3"/>
  <c r="G62" i="3"/>
  <c r="H62" i="3"/>
  <c r="E63" i="3"/>
  <c r="F63" i="3"/>
  <c r="G63" i="3"/>
  <c r="H63" i="3"/>
  <c r="E64" i="3"/>
  <c r="F64" i="3"/>
  <c r="G64" i="3"/>
  <c r="H64" i="3"/>
  <c r="E65" i="3"/>
  <c r="F65" i="3"/>
  <c r="G65" i="3"/>
  <c r="H65" i="3"/>
  <c r="E66" i="3"/>
  <c r="F66" i="3"/>
  <c r="G66" i="3"/>
  <c r="H66" i="3"/>
  <c r="E67" i="3"/>
  <c r="F67" i="3"/>
  <c r="G67" i="3"/>
  <c r="H67" i="3"/>
  <c r="E68" i="3"/>
  <c r="F68" i="3"/>
  <c r="G68" i="3"/>
  <c r="H68" i="3"/>
  <c r="E69" i="3"/>
  <c r="F69" i="3"/>
  <c r="G69" i="3"/>
  <c r="H69" i="3"/>
  <c r="E70" i="3"/>
  <c r="F70" i="3"/>
  <c r="G70" i="3"/>
  <c r="H70" i="3"/>
  <c r="E71" i="3"/>
  <c r="F71" i="3"/>
  <c r="G71" i="3"/>
  <c r="H71" i="3"/>
  <c r="E72" i="3"/>
  <c r="F72" i="3"/>
  <c r="G72" i="3"/>
  <c r="H72" i="3"/>
  <c r="E73" i="3"/>
  <c r="F73" i="3"/>
  <c r="G73" i="3"/>
  <c r="H73" i="3"/>
  <c r="H6" i="3"/>
  <c r="E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70" i="3"/>
  <c r="D71" i="3"/>
  <c r="D72" i="3"/>
  <c r="D73" i="3"/>
  <c r="D6" i="3"/>
  <c r="D37" i="5" l="1"/>
  <c r="E37" i="5" s="1"/>
  <c r="D36" i="5"/>
  <c r="E36" i="5" s="1"/>
  <c r="D35" i="5"/>
  <c r="E35" i="5" s="1"/>
  <c r="D34" i="5"/>
  <c r="E34" i="5" s="1"/>
  <c r="E26" i="5"/>
  <c r="F26" i="5"/>
  <c r="G26" i="5"/>
  <c r="H26" i="5"/>
  <c r="E27" i="5"/>
  <c r="F27" i="5"/>
  <c r="G27" i="5"/>
  <c r="H27" i="5"/>
  <c r="E28" i="5"/>
  <c r="F28" i="5"/>
  <c r="G28" i="5"/>
  <c r="H28" i="5"/>
  <c r="E29" i="5"/>
  <c r="F29" i="5"/>
  <c r="G29" i="5"/>
  <c r="H29" i="5"/>
  <c r="E30" i="5"/>
  <c r="F30" i="5"/>
  <c r="G30" i="5"/>
  <c r="H30" i="5"/>
  <c r="H25" i="5"/>
  <c r="G25" i="5"/>
  <c r="F25" i="5"/>
  <c r="E25" i="5"/>
  <c r="D21" i="5"/>
  <c r="D20" i="5"/>
  <c r="D19" i="5"/>
  <c r="D18" i="5"/>
  <c r="F34" i="5" l="1"/>
  <c r="G34" i="5"/>
  <c r="H34" i="5"/>
  <c r="G37" i="5"/>
  <c r="F37" i="5"/>
  <c r="H36" i="5"/>
  <c r="G36" i="5"/>
  <c r="F36" i="5"/>
  <c r="H37" i="5"/>
  <c r="H35" i="5"/>
  <c r="G35" i="5"/>
  <c r="F35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7E4EB42-B169-43D6-9E24-F62221B2781D}" keepAlive="1" name="Query - LItemTariff_20251009_9_38" description="Connection to the 'LItemTariff_20251009_9_38' query in the workbook." type="5" refreshedVersion="8" background="1" saveData="1">
    <dbPr connection="Provider=Microsoft.Mashup.OleDb.1;Data Source=$Workbook$;Location=LItemTariff_20251009_9_38;Extended Properties=&quot;&quot;" command="SELECT * FROM [LItemTariff_20251009_9_38]"/>
  </connection>
</connections>
</file>

<file path=xl/sharedStrings.xml><?xml version="1.0" encoding="utf-8"?>
<sst xmlns="http://schemas.openxmlformats.org/spreadsheetml/2006/main" count="3480" uniqueCount="2349">
  <si>
    <t>BIOMETRI</t>
  </si>
  <si>
    <t>Manual Plasenta</t>
  </si>
  <si>
    <t>Partus Dengan Tindakan Khusus/Patologis</t>
  </si>
  <si>
    <t>Partus dng Vakum Ekstraksi</t>
  </si>
  <si>
    <t>Partus Gemili / Kembar</t>
  </si>
  <si>
    <t>Partus Induksi + Vacum Ekstraksi</t>
  </si>
  <si>
    <t>Partus Normal dengan Dokter Umum</t>
  </si>
  <si>
    <t>Partus Normal Dengan SPOG</t>
  </si>
  <si>
    <t>WT</t>
  </si>
  <si>
    <t>C T G</t>
  </si>
  <si>
    <t>E.R.C.P</t>
  </si>
  <si>
    <t>EEG</t>
  </si>
  <si>
    <t>EKG</t>
  </si>
  <si>
    <t>TENS</t>
  </si>
  <si>
    <t>TARIF TINDAKAN RAWAT JALAN</t>
  </si>
  <si>
    <t>NO</t>
  </si>
  <si>
    <t>TINDAKAN RAWAT JALAN</t>
  </si>
  <si>
    <t>TARIF RAWAT JALAN</t>
  </si>
  <si>
    <t>TARIF TINDAKAN RAWAT INAP</t>
  </si>
  <si>
    <t>TINDAKAN RAWAT INAP</t>
  </si>
  <si>
    <t>KELAS 3</t>
  </si>
  <si>
    <t>KELAS 2</t>
  </si>
  <si>
    <t>KELAS 1</t>
  </si>
  <si>
    <t>BHP UGD 1</t>
  </si>
  <si>
    <t>BHP UGD 2</t>
  </si>
  <si>
    <t>BHP UGD 3</t>
  </si>
  <si>
    <t>Correction Shoes</t>
  </si>
  <si>
    <t>DURAGEN PLUS 1"x1"</t>
  </si>
  <si>
    <t>DURAGEN PLUS 1"x3"</t>
  </si>
  <si>
    <t>DURAGEN PLUS 2"x2"</t>
  </si>
  <si>
    <t>DURAGEN PLUS 3"x3"</t>
  </si>
  <si>
    <t>Korset Pinggang</t>
  </si>
  <si>
    <t>Nasal Pronge</t>
  </si>
  <si>
    <t>Pemakaian Alat Akupunktur</t>
  </si>
  <si>
    <t>Pemakaian Alphabeth (Busa Anti Decubitus) / Hari</t>
  </si>
  <si>
    <t>Pemakaian Bed/Matras 24 Jam</t>
  </si>
  <si>
    <t>Pemakaian Blue Light</t>
  </si>
  <si>
    <t>Pemakaian Bubble C Pap</t>
  </si>
  <si>
    <t>Pemakaian Doppler</t>
  </si>
  <si>
    <t>Pemakaian Endolop</t>
  </si>
  <si>
    <t>Pemakaian HFNC/hari</t>
  </si>
  <si>
    <t>Pemakaian Incubator 24 Jam</t>
  </si>
  <si>
    <t>Pemakaian Infusion Pump</t>
  </si>
  <si>
    <t>Pemakaian Infusion/Blood Warmer/hari</t>
  </si>
  <si>
    <t>Pemakaian Jarum Akupunktur</t>
  </si>
  <si>
    <t>Pemakaian Jarum Telinga</t>
  </si>
  <si>
    <t>Pemakaian Korset Pinggang 2</t>
  </si>
  <si>
    <t>Pemakaian Monitor ICU</t>
  </si>
  <si>
    <t>Pemakaian Neopuff</t>
  </si>
  <si>
    <t>Pemakaian Oksigen 1-3 L/Jam</t>
  </si>
  <si>
    <t>Pemakaian Oksigen 4-6 L/Jam</t>
  </si>
  <si>
    <t>Pemakaian Oksigen 7-8 L/Jam</t>
  </si>
  <si>
    <t>Pemakaian Oksigen &gt;8 L/Jam</t>
  </si>
  <si>
    <t>Pemakaian Pasien Monitor / Hari</t>
  </si>
  <si>
    <t>Pemakaian Pasien Monitor / Jam</t>
  </si>
  <si>
    <t>Pemakaian Pelvic Belt</t>
  </si>
  <si>
    <t>Pemakaian Suction Continuos Untuk WSD</t>
  </si>
  <si>
    <t>Pemakaian Syringe Pump</t>
  </si>
  <si>
    <t>Pemakaian Ventilator/Hari</t>
  </si>
  <si>
    <t>Pemakaian Vibrator</t>
  </si>
  <si>
    <t>KELAS JR SUITE ROOM</t>
  </si>
  <si>
    <t>KELAS SUITE ROOM</t>
  </si>
  <si>
    <t>TINDAKAN</t>
  </si>
  <si>
    <t>CRANIUM</t>
  </si>
  <si>
    <t>DENTAL REGIO</t>
  </si>
  <si>
    <t>MANDIBULA KA / KI</t>
  </si>
  <si>
    <t>MASTOID</t>
  </si>
  <si>
    <t>NASAL</t>
  </si>
  <si>
    <t>ORBITA</t>
  </si>
  <si>
    <t>PANORAMIC</t>
  </si>
  <si>
    <t>SINUS P (3 POSISI)</t>
  </si>
  <si>
    <t>SINUS PARANASALIS 2 POSISI</t>
  </si>
  <si>
    <t>TEMPORO MANDIBULA JOINT</t>
  </si>
  <si>
    <t>WATERS POSITION</t>
  </si>
  <si>
    <t>CERVICOTHORACAL 2 POSISI</t>
  </si>
  <si>
    <t>COLL. VERT. CERVIKALIS 2 POSISI</t>
  </si>
  <si>
    <t>COLL. VERT. CERVIKALIS 4 POSISI</t>
  </si>
  <si>
    <t>COLL. VERT. LUMBALIS 2 POSISI</t>
  </si>
  <si>
    <t>COLL. VERT. LUMBALIS 4 POSISI</t>
  </si>
  <si>
    <t>COLL. VERT. THORACALIS 2 POSISI</t>
  </si>
  <si>
    <t>COLL. VERT. THORACALIS 4 POSISI</t>
  </si>
  <si>
    <t>LUMBOSAKRAL 2 POSISI</t>
  </si>
  <si>
    <t>LUMBOSAKRAL 4 POSISI</t>
  </si>
  <si>
    <t>OS. SACRUM</t>
  </si>
  <si>
    <t>SACROCOCCYGEUS AP + LATERAL</t>
  </si>
  <si>
    <t>PELVIS / COXAE</t>
  </si>
  <si>
    <t>THORACOLUMBAL 2 POSISI</t>
  </si>
  <si>
    <t>HIP JOINT KA &amp; KI</t>
  </si>
  <si>
    <t>HIP JOINT KA / KI</t>
  </si>
  <si>
    <t>ABDOMEN 2 POSISI</t>
  </si>
  <si>
    <t>ABDOMEN 3 POSISI</t>
  </si>
  <si>
    <t>ABDOMEN POLOS (BNO)</t>
  </si>
  <si>
    <t>BABYGRAM</t>
  </si>
  <si>
    <t>THORAX PA &amp; LATERAL</t>
  </si>
  <si>
    <t>THORAX PA / LATERAL</t>
  </si>
  <si>
    <t>ANTEBRACHI KA &amp; KI</t>
  </si>
  <si>
    <t>ANTEBRACHI KA/KI</t>
  </si>
  <si>
    <t>ART. BAHU KA &amp; KI</t>
  </si>
  <si>
    <t>ART. BAHU KA / KI</t>
  </si>
  <si>
    <t>CLAVICULA KA &amp; KI</t>
  </si>
  <si>
    <t>CLAVICULA KA / KI</t>
  </si>
  <si>
    <t>ELBOW JOINT KA &amp; KI</t>
  </si>
  <si>
    <t>ELBOW JOINT KA / KI</t>
  </si>
  <si>
    <t>HUMERUS KA &amp; KI</t>
  </si>
  <si>
    <t>HUMERUS KA / KI</t>
  </si>
  <si>
    <t>MANUS KA &amp; KI</t>
  </si>
  <si>
    <t>MANUS KA / KI</t>
  </si>
  <si>
    <t>SCAPULA KA / KI</t>
  </si>
  <si>
    <t>SHOULDER JOINT KA &amp; KI</t>
  </si>
  <si>
    <t>SHOULDER JOINT KA / KI</t>
  </si>
  <si>
    <t>WRIST JOINT KA &amp; KI</t>
  </si>
  <si>
    <t>WRIST JOINT KA / KI</t>
  </si>
  <si>
    <t>ANKLE JOINT KA &amp; KI</t>
  </si>
  <si>
    <t>ANKLE JOINT KA/KI</t>
  </si>
  <si>
    <t>CALCANEUS</t>
  </si>
  <si>
    <t>CRURIS KA &amp; KI</t>
  </si>
  <si>
    <t>CRURIS KA / KI</t>
  </si>
  <si>
    <t>FEMUR KA &amp; KI</t>
  </si>
  <si>
    <t>FEMUR KA / KI</t>
  </si>
  <si>
    <t>KNEE JOINT KA &amp; KI</t>
  </si>
  <si>
    <t>KNEE JOINT KA / KI</t>
  </si>
  <si>
    <t>PEDIS KA &amp; KI</t>
  </si>
  <si>
    <t>PEDIS KA / KI</t>
  </si>
  <si>
    <t>APPENDICOGRAM</t>
  </si>
  <si>
    <t>HSG</t>
  </si>
  <si>
    <t>USG ABDOMEN H P</t>
  </si>
  <si>
    <t>USG ABDOMEN C DOPPLER</t>
  </si>
  <si>
    <t>USG ABDOMEN (TANPA FILM)</t>
  </si>
  <si>
    <t>USG GENITAL DOPPLER</t>
  </si>
  <si>
    <t>USG GENITAL H P</t>
  </si>
  <si>
    <t>USG JAR. LUNAK (SOFT TISSUE)</t>
  </si>
  <si>
    <t>USG KEPALA H P</t>
  </si>
  <si>
    <t>USG THORAX</t>
  </si>
  <si>
    <t>USG TIROID H P</t>
  </si>
  <si>
    <t>KELAS 3/RAWAT JALAN</t>
  </si>
  <si>
    <t>DARAH LENGKAP</t>
  </si>
  <si>
    <t>DARAH RUTIN</t>
  </si>
  <si>
    <t>HEMATOKRIT</t>
  </si>
  <si>
    <t>HEMOGLOBIN</t>
  </si>
  <si>
    <t>LED</t>
  </si>
  <si>
    <t>LEUKOSIT</t>
  </si>
  <si>
    <t>TROMBOSIT</t>
  </si>
  <si>
    <t>ERITROSIT</t>
  </si>
  <si>
    <t>RETIKULOSIT</t>
  </si>
  <si>
    <t>EOSINOFIL TOTAL</t>
  </si>
  <si>
    <t>H2TL</t>
  </si>
  <si>
    <t>GAMBARAN DARAH TEPI</t>
  </si>
  <si>
    <t>COOMBS TEST</t>
  </si>
  <si>
    <t>GOLONGAN DARAH</t>
  </si>
  <si>
    <t>IT RASIO</t>
  </si>
  <si>
    <t>MALARIA</t>
  </si>
  <si>
    <t>MASA PEMBEKUAN</t>
  </si>
  <si>
    <t>MASA PENDARAHAN</t>
  </si>
  <si>
    <t>AGREGASI TROMBOSIT</t>
  </si>
  <si>
    <t>FAKTOR PEMBEKUAN IX</t>
  </si>
  <si>
    <t>FAKTOR PEMBEKUAN VIII</t>
  </si>
  <si>
    <t>APTT</t>
  </si>
  <si>
    <t>PT</t>
  </si>
  <si>
    <t>D-DIMER</t>
  </si>
  <si>
    <t>FIBRINOGEN</t>
  </si>
  <si>
    <t>PROTEIN TOTAL</t>
  </si>
  <si>
    <t>TIBC</t>
  </si>
  <si>
    <t>BESI (IRON)</t>
  </si>
  <si>
    <t>FERRITIN</t>
  </si>
  <si>
    <t>TRANSFERIN</t>
  </si>
  <si>
    <t>ALBUMIN</t>
  </si>
  <si>
    <t>BILIRUBIN DIREK</t>
  </si>
  <si>
    <t>BILIRUBIN INDIREK</t>
  </si>
  <si>
    <t>BILIRUBIN PAKET</t>
  </si>
  <si>
    <t>BILIRUBIN TOTAL</t>
  </si>
  <si>
    <t>SGOT</t>
  </si>
  <si>
    <t>SGPT</t>
  </si>
  <si>
    <t>GAMMA GT</t>
  </si>
  <si>
    <t>ALKALI PHOSPAT</t>
  </si>
  <si>
    <t>UREUM</t>
  </si>
  <si>
    <t>CREATININE</t>
  </si>
  <si>
    <t>ASAM URAT</t>
  </si>
  <si>
    <t>CREATININ URIN</t>
  </si>
  <si>
    <t>ASAM URAT URINE</t>
  </si>
  <si>
    <t>CREATININE CLEARENCE</t>
  </si>
  <si>
    <t>GLUKOSA 2 JAM PP</t>
  </si>
  <si>
    <t>GLUKOSA PUASA</t>
  </si>
  <si>
    <t>GLUKOSA SEWAKTU</t>
  </si>
  <si>
    <t>HBA1C</t>
  </si>
  <si>
    <t>HDL-CHOLESTEROL</t>
  </si>
  <si>
    <t>LDL-CHOLESTEROL</t>
  </si>
  <si>
    <t>CHOLESTEROL</t>
  </si>
  <si>
    <t>TRIGLISERIDA</t>
  </si>
  <si>
    <t>APO A1</t>
  </si>
  <si>
    <t>APO B</t>
  </si>
  <si>
    <t>CKMB</t>
  </si>
  <si>
    <t>CPK/CK</t>
  </si>
  <si>
    <t>LDH</t>
  </si>
  <si>
    <t>TROPONIN T</t>
  </si>
  <si>
    <t>INTERLEUKIN-6</t>
  </si>
  <si>
    <t>ASTRUP (AGD)</t>
  </si>
  <si>
    <t>CA TOTAL</t>
  </si>
  <si>
    <t>CA ION</t>
  </si>
  <si>
    <t>FOSFOR ANORGANIK</t>
  </si>
  <si>
    <t>MAGNESIUM</t>
  </si>
  <si>
    <t>DENGUE IGG+IGM</t>
  </si>
  <si>
    <t>G6PD</t>
  </si>
  <si>
    <t>G6PD NEONATUS</t>
  </si>
  <si>
    <t>WIDAL</t>
  </si>
  <si>
    <t>CRP</t>
  </si>
  <si>
    <t>ASTO</t>
  </si>
  <si>
    <t>RHEMATOID FAKTOR (KUANTITATIF)</t>
  </si>
  <si>
    <t>VDRL</t>
  </si>
  <si>
    <t>TPHA</t>
  </si>
  <si>
    <t>ANTI HBe</t>
  </si>
  <si>
    <t>HBV DNA KUANTITATIF</t>
  </si>
  <si>
    <t>TUBEX TF</t>
  </si>
  <si>
    <t>ANTI HCV</t>
  </si>
  <si>
    <t>HCV CORE ANTIGEN</t>
  </si>
  <si>
    <t>TOXOPLASMA IgG</t>
  </si>
  <si>
    <t>TOXOPLASMA IgM</t>
  </si>
  <si>
    <t>RUBELLA IgG</t>
  </si>
  <si>
    <t>RUBELLA IgM</t>
  </si>
  <si>
    <t>ANTI CMV IgG</t>
  </si>
  <si>
    <t>ANTI CMV IgM</t>
  </si>
  <si>
    <t>ANTI HSV-1 IgG</t>
  </si>
  <si>
    <t>ANTI HSV-1 IgM</t>
  </si>
  <si>
    <t>ANTI HSV-2 IgG</t>
  </si>
  <si>
    <t>ANTI HSV-2 IgM</t>
  </si>
  <si>
    <t>IgA</t>
  </si>
  <si>
    <t>IgG</t>
  </si>
  <si>
    <t>IgM</t>
  </si>
  <si>
    <t>C3</t>
  </si>
  <si>
    <t>ANTI ds DNA</t>
  </si>
  <si>
    <t>ANA PROFILE</t>
  </si>
  <si>
    <t>ANA IF</t>
  </si>
  <si>
    <t>AMA</t>
  </si>
  <si>
    <t>ANTI HIV</t>
  </si>
  <si>
    <t>CD4</t>
  </si>
  <si>
    <t>VITAMIN D 25 OH</t>
  </si>
  <si>
    <t>T3-TOTAL</t>
  </si>
  <si>
    <t>T4-TOTAL</t>
  </si>
  <si>
    <t>PAKET ALERGI INDONESIA (54 ALERGEN)</t>
  </si>
  <si>
    <t>PAKET ALERGI PEDIATRIC (27 ALERGEN)</t>
  </si>
  <si>
    <t>FT3</t>
  </si>
  <si>
    <t>FT4</t>
  </si>
  <si>
    <t>TSHS</t>
  </si>
  <si>
    <t>LH</t>
  </si>
  <si>
    <t>FSH</t>
  </si>
  <si>
    <t>PROLACTIN</t>
  </si>
  <si>
    <t>TESTOTERON</t>
  </si>
  <si>
    <t>PROGESTERON</t>
  </si>
  <si>
    <t>ESTRADIOL</t>
  </si>
  <si>
    <t>B- HCG KUANTITATIF</t>
  </si>
  <si>
    <t>CORTISOL</t>
  </si>
  <si>
    <t>DHEA-S</t>
  </si>
  <si>
    <t>IgE TOTAL</t>
  </si>
  <si>
    <t>URIN LENGKAP</t>
  </si>
  <si>
    <t>TES KEHAMILAN</t>
  </si>
  <si>
    <t>MIKROALBUMIN URIN</t>
  </si>
  <si>
    <t>AMPHETAMIN</t>
  </si>
  <si>
    <t>THC/GANJA</t>
  </si>
  <si>
    <t>MORFIN / OPIAT</t>
  </si>
  <si>
    <t>COCAINE</t>
  </si>
  <si>
    <t>FECAL CALPROTECTIN</t>
  </si>
  <si>
    <t>FAECES LENGKAP</t>
  </si>
  <si>
    <t>CEA</t>
  </si>
  <si>
    <t>AFP (HATI)</t>
  </si>
  <si>
    <t>PSA (PROSTAT)</t>
  </si>
  <si>
    <t>FREE PSA (PROSTAT)</t>
  </si>
  <si>
    <t>CA 125 (OVARIUM)</t>
  </si>
  <si>
    <t>CA 15-3 (PAYUDARA)</t>
  </si>
  <si>
    <t>CA 19-9 (PANKREAS)</t>
  </si>
  <si>
    <t>SCC</t>
  </si>
  <si>
    <t>DIGOXIN</t>
  </si>
  <si>
    <t>PHENYTOIN</t>
  </si>
  <si>
    <t>BENZODIAZEPIN</t>
  </si>
  <si>
    <t>GALL KULTUR</t>
  </si>
  <si>
    <t>KULTUR RESISTENSI BTA</t>
  </si>
  <si>
    <t>KULTUR RESISTENSI CAIRAN PLEURA</t>
  </si>
  <si>
    <t>KULTUR RESISTENSI CAIRAN TUBUH</t>
  </si>
  <si>
    <t>KULTUR RESISTENSI DARAH</t>
  </si>
  <si>
    <t>KULTUR RESISTENSI FAECES</t>
  </si>
  <si>
    <t>KULTUR RESISTENSI FARINGIAL</t>
  </si>
  <si>
    <t>KULTUR RESISTENSI JAMUR</t>
  </si>
  <si>
    <t>KULTUR RESISTENSI LCS</t>
  </si>
  <si>
    <t>KULTUR RESISTENSI PUS</t>
  </si>
  <si>
    <t>KULTUR RESISTENSI LAIN-LAIN</t>
  </si>
  <si>
    <t>KULTUR RESISTENSI SEKRET/SWAB VAGINA</t>
  </si>
  <si>
    <t>KULTUR RESISTENSI SEKRET CONJUGTIVA</t>
  </si>
  <si>
    <t>KULTUR RESISTENSI SWAB TENGGOROK</t>
  </si>
  <si>
    <t>JAMUR / KOH 10%</t>
  </si>
  <si>
    <t>PENGECATAN GRAM</t>
  </si>
  <si>
    <t>PENGECATAN BTA 1X</t>
  </si>
  <si>
    <t>PENGECATAN BTA 3X</t>
  </si>
  <si>
    <t>HISTOPATOLOGI JARINGAN BESAR</t>
  </si>
  <si>
    <t>HISTOPATOLOGI JARINGAN KECIL</t>
  </si>
  <si>
    <t>HISTOPATOLOGI JARINGAN SEDANG</t>
  </si>
  <si>
    <t>SITOLOGI CAIRAN TUBUH</t>
  </si>
  <si>
    <t>PAP SMEAR</t>
  </si>
  <si>
    <t>ANALISA SPERMA</t>
  </si>
  <si>
    <t>ANALISA BATU GINJAL</t>
  </si>
  <si>
    <t>ANALISA CAIRAN ASCITES</t>
  </si>
  <si>
    <t>ANALISA CAIRAN LCS</t>
  </si>
  <si>
    <t>ANALISA CAIRAN PLEURA</t>
  </si>
  <si>
    <t>ANALISA CAIRAN SENDI</t>
  </si>
  <si>
    <t>TARIF TINDAKAN OPERASI</t>
  </si>
  <si>
    <t>PEMAKAIAN KAMAR OPERASI BESAR</t>
  </si>
  <si>
    <t>PEMAKAIAN KAMAR OPERASI KECIL</t>
  </si>
  <si>
    <t>PEMAKAIAN KAMAR OPERASI KHUSUS</t>
  </si>
  <si>
    <t>PEMAKAIAN KAMAR OPERASI SEDANG</t>
  </si>
  <si>
    <t>PEMAKAIAN KAMAR VK</t>
  </si>
  <si>
    <t>Operasi Kecil</t>
  </si>
  <si>
    <t>Operasi Sedang</t>
  </si>
  <si>
    <t>Operasi Besar</t>
  </si>
  <si>
    <t>Operasi Khusus</t>
  </si>
  <si>
    <t>Alat Bedah Duralgraf (10 x 10)</t>
  </si>
  <si>
    <t>Alat Bedah Duralgraf (5 x 5)</t>
  </si>
  <si>
    <t>Alat Bedah Mulut Compresion Plat 5 hole</t>
  </si>
  <si>
    <t>Alat Bedah Mulut Drill Screw</t>
  </si>
  <si>
    <t>Alat Bedah Mulut Mini Screw 5 mm</t>
  </si>
  <si>
    <t>Alat Bedah Mulut Mini Screw 8 mm</t>
  </si>
  <si>
    <t>Alat Bedah Mulut Quickfix</t>
  </si>
  <si>
    <t>Alat Bedah Mulut Screw</t>
  </si>
  <si>
    <t>Alat Bedah Mulut Short Plate 4 Hole</t>
  </si>
  <si>
    <t>Alat Bedah Mulut Wire + Ahbar</t>
  </si>
  <si>
    <t>Alat Bedah Saraf Cranio Fix</t>
  </si>
  <si>
    <t>Alat Bedah Saraf Duralgraf (7,5 x 7,5)</t>
  </si>
  <si>
    <t>Alat Bedah Saraf Plate</t>
  </si>
  <si>
    <t>Alat Bedah Saraf Titanium Mass</t>
  </si>
  <si>
    <t>Alat Bedah Saraf Titanium Screw 2 mm</t>
  </si>
  <si>
    <t>Alat Bedah Saraf Titanium Screw 3 mm</t>
  </si>
  <si>
    <t>Alat Bedah Saraf Titanium Screw 5 mm</t>
  </si>
  <si>
    <t>Alat Haemoroid Stapler</t>
  </si>
  <si>
    <t>Alat THT Gromet Tube</t>
  </si>
  <si>
    <t>Bakteri filter ventilator disposible</t>
  </si>
  <si>
    <t>BHP Catarak (PHACO)</t>
  </si>
  <si>
    <t>BHP Kamar Operasi</t>
  </si>
  <si>
    <t>Externa Ventrikel Drainage + craniotomi set</t>
  </si>
  <si>
    <t>Hidrocepalus Shunt + Implant</t>
  </si>
  <si>
    <t>Kauterisasi</t>
  </si>
  <si>
    <t>Pemakaian Alat Bedah Mulut Mini Plate 1 Hole</t>
  </si>
  <si>
    <t>Pemakaian Alat Bedah Saraf</t>
  </si>
  <si>
    <t>Pemakaian Alat Digestiv ( EnduloopPDS2)</t>
  </si>
  <si>
    <t>Pemakaian Alat Digestiv (Darmabond)</t>
  </si>
  <si>
    <t>Pemakaian Alat Endoscopy THT</t>
  </si>
  <si>
    <t>Pemakaian Alat Grommut Tube</t>
  </si>
  <si>
    <t>Pemakaian Alat Kamera System &amp; Instrument Operasi THT</t>
  </si>
  <si>
    <t>Pemakaian alat Laparascopy</t>
  </si>
  <si>
    <t>Pemakaian Alat Laparascopy Endoclep ligament</t>
  </si>
  <si>
    <t>Pemakaian alat Laparascopy Endocloser</t>
  </si>
  <si>
    <t>Pemakaian Alat Laparascopy Fess</t>
  </si>
  <si>
    <t>Pemakaian alat Laparascopy Fisio mesh film umbilical</t>
  </si>
  <si>
    <t>Pemakaian alat Laparascopy Guardix sol 0.5 mg</t>
  </si>
  <si>
    <t>Pemakaian Alat Laparascopy Titanium Clip</t>
  </si>
  <si>
    <t>Pemakaian alat Laparascopy Tracker</t>
  </si>
  <si>
    <t>Pemakaian Alat mata + benang</t>
  </si>
  <si>
    <t>Pemakaian Alat Mata + BNP</t>
  </si>
  <si>
    <t>Pemakaian alat Microscope Mata</t>
  </si>
  <si>
    <t>Pemakaian Alat Op Bedah Mulut</t>
  </si>
  <si>
    <t>Pemakaian Alat Op. mata</t>
  </si>
  <si>
    <t>Pemakaian Alat Op.katarak (IOL,Miostat,Opten,dll)</t>
  </si>
  <si>
    <t>Pemakaian Alat Septoplasti</t>
  </si>
  <si>
    <t>Pemakaian Alat THT</t>
  </si>
  <si>
    <t>Pemakaian Alat THT Tampon Netcell</t>
  </si>
  <si>
    <t>Pemakaian Alat Tympanoplasti</t>
  </si>
  <si>
    <t>Pemakaian alat Urologi ( Cobra-W )</t>
  </si>
  <si>
    <t>Pemakaian Alat Urologi ( Cystoscopy )</t>
  </si>
  <si>
    <t>Pemakaian Alat Urologi ( Double J )</t>
  </si>
  <si>
    <t>Pemakaian Alat Urologi ( Elle )</t>
  </si>
  <si>
    <t>Pemakaian Alat Urologi ( Guide Wire )</t>
  </si>
  <si>
    <t>Pemakaian Alat Urologi ( Lithoclast )</t>
  </si>
  <si>
    <t>Pemakaian Alat Urologi ( Monitor )</t>
  </si>
  <si>
    <t>Pemakaian Alat Urologi ( Nephorostomy Set)</t>
  </si>
  <si>
    <t>Pemakaian Alat Urologi ( Sakse )</t>
  </si>
  <si>
    <t>Pemakaian Alat Urologi ( Trajectory )</t>
  </si>
  <si>
    <t>Pemakaian Alat Urologi ( TUR )</t>
  </si>
  <si>
    <t>Pemakaian Alat Urologi ( ureter chateter )</t>
  </si>
  <si>
    <t>Pemakaian Alat Urologi ( URS )</t>
  </si>
  <si>
    <t>Pemakaian alat Urologi (DJ Stent)</t>
  </si>
  <si>
    <t>Pemakaian Mesin PHACO</t>
  </si>
  <si>
    <t>PEMAKAIAN ALAT</t>
  </si>
  <si>
    <t>TARIF</t>
  </si>
  <si>
    <t>MRCP</t>
  </si>
  <si>
    <t>RUANGAN</t>
  </si>
  <si>
    <t>TARIF PEMAKAIAN ALAT</t>
  </si>
  <si>
    <t>DAFTAR GOLONGAN TINDAKAN OPERASI</t>
  </si>
  <si>
    <t>Kecil</t>
  </si>
  <si>
    <t>Sedang</t>
  </si>
  <si>
    <t>Besar</t>
  </si>
  <si>
    <t>Khusus</t>
  </si>
  <si>
    <t>NO.</t>
  </si>
  <si>
    <t>JENIS JASA</t>
  </si>
  <si>
    <t>DOKTER UMUM</t>
  </si>
  <si>
    <t>DOKTER GIGI</t>
  </si>
  <si>
    <t>DOKTER SPESIALIS</t>
  </si>
  <si>
    <t>DOKTER SPESIALIS MINGGU / SUNDAY CLINIC</t>
  </si>
  <si>
    <t>DOKTER IGD</t>
  </si>
  <si>
    <t>DOKTER IGD DENGAN OBSERVASI</t>
  </si>
  <si>
    <t>SUITE ROOM</t>
  </si>
  <si>
    <t>JUNIOR SUITE ROOM</t>
  </si>
  <si>
    <t>VVIP</t>
  </si>
  <si>
    <t>VIP</t>
  </si>
  <si>
    <t>HCU</t>
  </si>
  <si>
    <t>Kelas 1 (PREMIUM)</t>
  </si>
  <si>
    <t>Kelas 2 (SUPERIOR)</t>
  </si>
  <si>
    <t>Kelas 3 (STANDARD)</t>
  </si>
  <si>
    <t>PERINA BAYI SEHAT (KAMAR BAYI)</t>
  </si>
  <si>
    <t>PERINATOLOGI</t>
  </si>
  <si>
    <t>ISOLASI</t>
  </si>
  <si>
    <t>JENIS KAMAR PERAWATAN</t>
  </si>
  <si>
    <t>TOTAL TARIF VISITE</t>
  </si>
  <si>
    <t>dr. spesialis</t>
  </si>
  <si>
    <t>dr. ruangan</t>
  </si>
  <si>
    <t>Kelas 1</t>
  </si>
  <si>
    <t>Kelas 2</t>
  </si>
  <si>
    <t>Kelas 3</t>
  </si>
  <si>
    <t>PERINA SEHAT</t>
  </si>
  <si>
    <t>SESUAI KAMAR IBU</t>
  </si>
  <si>
    <t>KELAS 3/ RAWAT JALAN</t>
  </si>
  <si>
    <t>Cabut dengan Anestesi Umum</t>
  </si>
  <si>
    <t>Odontektomi Satu Gigi</t>
  </si>
  <si>
    <t>Arch bar</t>
  </si>
  <si>
    <t>TOTAL</t>
  </si>
  <si>
    <t>Jasa Ambulance &lt; 5 km</t>
  </si>
  <si>
    <t>Jasa Ambulance 6 - 10 km</t>
  </si>
  <si>
    <t>Jasa Ambulance 11 - 15 km</t>
  </si>
  <si>
    <t>Jasa Ambulance 16 - 20 km</t>
  </si>
  <si>
    <t>Jasa Ambulance 21 - 25 km</t>
  </si>
  <si>
    <t>Jasa Ambulance 26 - 30 km</t>
  </si>
  <si>
    <t>Jasa Ambulance 31 - 35 km</t>
  </si>
  <si>
    <t>Jasa Ambulance 36 - 40 km</t>
  </si>
  <si>
    <t>Jasa Ambulance 41 - 55 km</t>
  </si>
  <si>
    <t>Jasa Ambulance 56 - 60 km</t>
  </si>
  <si>
    <t>Jasa Ambulance 61 - 65 km</t>
  </si>
  <si>
    <t>Jasa Ambulance 66 - 70 km</t>
  </si>
  <si>
    <t>Jasa Ambulance 71 - 75 km</t>
  </si>
  <si>
    <t>Jasa Ambulance 76 - 80 km</t>
  </si>
  <si>
    <t>Jasa Ambulance 81 - 85 km</t>
  </si>
  <si>
    <t>Jasa Ambulance 86 - 90 km</t>
  </si>
  <si>
    <t>Jasa Ambulance 91 - 95 km</t>
  </si>
  <si>
    <t>Jasa Ambulance 96 - 100 km</t>
  </si>
  <si>
    <t>1.1. Jenis Jasa</t>
  </si>
  <si>
    <t>TARIF PELAYANAN</t>
  </si>
  <si>
    <t>1. PELAYANAN</t>
  </si>
  <si>
    <t>TARIF PEMAKAIAN AMBULANCE</t>
  </si>
  <si>
    <t>2. RAWAT JALAN</t>
  </si>
  <si>
    <t>3. RAWAT INAP</t>
  </si>
  <si>
    <t>FASILITAS</t>
  </si>
  <si>
    <t>1.2. Tarif Visite</t>
  </si>
  <si>
    <t>FOTO KAMAR</t>
  </si>
  <si>
    <t>KEPERAWATAN KAMAR RAWAT INAP</t>
  </si>
  <si>
    <t>SUITE ROOM (63 m²)</t>
  </si>
  <si>
    <t>JUNIOR SUITE ROOM (40 m²)</t>
  </si>
  <si>
    <t>VVIP (32 m²)</t>
  </si>
  <si>
    <t>• Tempat tidur pasien elektrik
• Tempat tidur pendamping pasien
• TV LED 55”
• Kursi Tunggu
• Meja Makan
• Lemari Es</t>
  </si>
  <si>
    <t>• 1 Teko Listrik
• 1 AC
• 1 Kamar mandi (water heater)
• 1 Pesawat Telephone
• Welcome Fruit
• Lake View</t>
  </si>
  <si>
    <t>• Tempat tidur pasien elektrik
• Tempat tidur pendamping pasien
• TV LED 55”
• Kursi Tunggu
• Meja Makan
• Lemari Es
• Lemari Pakaian</t>
  </si>
  <si>
    <t>VIP (32 m²)</t>
  </si>
  <si>
    <t>• 2 Tempat Tidur
• 2 Sofabed
• 2 Lemari Es Minibar
• 2 TV LED 50”
• 2 Sidebed Nakas</t>
  </si>
  <si>
    <t>• 2 Meja Makan Pasien
• 2 Lemari Pakaian
• 1 Kamar mandi (water heater)
• 1 AC</t>
  </si>
  <si>
    <t>• 3 Meja Makan Pasien
• 1 Kamar mandi (water heater)
• 1 AC</t>
  </si>
  <si>
    <t>• 3 Tempat Tidur
• 3 Kursi tunggu
• 3 TV LED 32”
• 3 Sidebed Nakas</t>
  </si>
  <si>
    <t>• 1 Meja Makan Pasien
• 1 Kamar mandi (water heater)
• 1 AC</t>
  </si>
  <si>
    <t>• Tempat tidur pasien elektrik
• Tempat tidur pendamping pasien
• TV LED 65"
• Sofa keluarga (1 set)
• Meja makan keluarga (1 set)
• Lemari Es
• Sofa Recliner
• Lemari Pakaian</t>
  </si>
  <si>
    <t>• Lemari Pakaian
• 1 Teko Listrik
• 1 AC
• 1 Kamar mandi (water heater)
• 1 Pesawat Telephone
• Welcome Fruit</t>
  </si>
  <si>
    <t>METHAMPHETAMIN</t>
  </si>
  <si>
    <t>KETERANGAN</t>
  </si>
  <si>
    <t>TARIF TIDAK TERMASUK BIAYA PERALATAN, OBAT-OBATAN, BHP, DAN JASA KONSULTASI DOKTER</t>
  </si>
  <si>
    <t>TARIF BELUM TERMASUK OBAT-OBATAN, ALAT KESEHATAN, DAN JASA DOKTER ANASTESI APABILA DIBUTUHKAN</t>
  </si>
  <si>
    <t xml:space="preserve">TARIF TIDAK TERMASUK TARIF DOKTER ANASTESI, DOKTER ANAK (APABILA DIBUTUHKAN, TIM OK, OBAT-OBATAN, BHP, ALAT KESEHATAN, DAN SEWA KAMAR RUANG OK  </t>
  </si>
  <si>
    <t>TARIF JUGA TIDAK TERMASUK TARIF RAWAT INAP: KAMAR RAWAT, VISITASI DOKTER, JASA KEPERAWATAN, OBAT-OBATAN, ALAT KESEHATAN SERTA BIAYA KEPERAWATAN LAINNYA</t>
  </si>
  <si>
    <t>TARIF SUDAH TERMASUK BIAYA BAHAN BAKAR, TOL, DAN PENGEMUDI</t>
  </si>
  <si>
    <t>PENDAMPINGAN DOKTER (APABILA DIBUTUHKAN) DIKENAKAN TARIF TAMBAHAN SESUAI DENGAN TARIF RUMAH SAKIT</t>
  </si>
  <si>
    <t>TARIF TINDAKAN FISIOTERAPI</t>
  </si>
  <si>
    <t>TINDAKAN FISIOTERAPI</t>
  </si>
  <si>
    <t>EXERCISE STROKE / KHUSUS</t>
  </si>
  <si>
    <t>EXERCISE STROKE HOME VISITE</t>
  </si>
  <si>
    <t>INFRA RED</t>
  </si>
  <si>
    <t>LATIHAN AMBULASI &amp; KESEIMBANGAN</t>
  </si>
  <si>
    <t>LATIHAN JALAN DENGAN ALAT BANTU</t>
  </si>
  <si>
    <t>LATIHAN LGS/PEREGANGAN</t>
  </si>
  <si>
    <t>LATIHAN PENGUATAN/RESISTIF</t>
  </si>
  <si>
    <t>LATIHAN PERNAPASAN/POSTURAL DRAINAGE</t>
  </si>
  <si>
    <t>LATIHAN SEPEDA STATIS</t>
  </si>
  <si>
    <t>LOW LEVEL LASER THERAPY</t>
  </si>
  <si>
    <t>MANIPULASI SENDI PERIFER</t>
  </si>
  <si>
    <t>MASSAGE / EXC BIASA</t>
  </si>
  <si>
    <t>MASSAGE BAYI</t>
  </si>
  <si>
    <t>PARAFIN</t>
  </si>
  <si>
    <t>PARAREL BAR</t>
  </si>
  <si>
    <t>PEMAKAIAN NEBULIZER</t>
  </si>
  <si>
    <t>PHONOPORESIS</t>
  </si>
  <si>
    <t>QUADS BEACH</t>
  </si>
  <si>
    <t>SHOULDER WHEEL</t>
  </si>
  <si>
    <t>SPRAY &amp; STRETCH</t>
  </si>
  <si>
    <t>TRAKSI</t>
  </si>
  <si>
    <t>TRIBALLS INCENTIVE SPIROMETRI</t>
  </si>
  <si>
    <t>ULTRASOUND (US)</t>
  </si>
  <si>
    <t>Amputasi</t>
  </si>
  <si>
    <t>DOKTER SUB-SPESIALIS</t>
  </si>
  <si>
    <t>DOKTER SPESIALIS KS. JIWA (30 Menit)</t>
  </si>
  <si>
    <t>DOKTER SPESIALIS KS. JIWA (30 - 60 Menit)</t>
  </si>
  <si>
    <t>KELAS JR SUITE/ SUITE ROOM</t>
  </si>
  <si>
    <t>• Kitchen set 
• 1 Microwave
• 1 Teko Listrik
• 2 AC
• 1 Kamar mandi (water heater)
• 1 Pesawat Telephone
• Welcome Fruit
• Makanan untuk 1 pendamping</t>
  </si>
  <si>
    <r>
      <rPr>
        <b/>
        <sz val="13"/>
        <color theme="1"/>
        <rFont val="Aptos Narrow"/>
        <family val="2"/>
        <scheme val="minor"/>
      </rPr>
      <t>NICU</t>
    </r>
    <r>
      <rPr>
        <b/>
        <sz val="11"/>
        <color theme="1"/>
        <rFont val="Aptos Narrow"/>
        <family val="2"/>
        <scheme val="minor"/>
      </rPr>
      <t xml:space="preserve">
(NEONATAL INTENSIVE CARE UNIT)</t>
    </r>
  </si>
  <si>
    <r>
      <rPr>
        <b/>
        <sz val="13"/>
        <color theme="1"/>
        <rFont val="Aptos Narrow"/>
        <family val="2"/>
        <scheme val="minor"/>
      </rPr>
      <t>HCU</t>
    </r>
    <r>
      <rPr>
        <b/>
        <sz val="11"/>
        <color theme="1"/>
        <rFont val="Aptos Narrow"/>
        <family val="2"/>
        <scheme val="minor"/>
      </rPr>
      <t xml:space="preserve">
(HIGH CARE UNIT)</t>
    </r>
  </si>
  <si>
    <t>• Tempat tidur pasien elektrik
• Tempat tidur pendamping pasien
• TV LED 65”
• Sofa keluarga (1 set)
• Meja makan keluarga (1 set)
• Lemari Es
• Lemari Pakaian</t>
  </si>
  <si>
    <t>TARIF PEMERIKSAAN RADIOLOGI</t>
  </si>
  <si>
    <t>TARIF PEMERIKSAAN LABORATORIUM</t>
  </si>
  <si>
    <t>MSCT ABDOMEN 3 DIMENSI</t>
  </si>
  <si>
    <t>MSCT CRANIUM / KEPALA DENGAN KONTRAS</t>
  </si>
  <si>
    <t>MSCT CRANIUM/KEPALA POLOS</t>
  </si>
  <si>
    <t>MSCT HEAD SCREENING-BONE WINDOW</t>
  </si>
  <si>
    <t>MSCT MASTOID DENGAN KONTRAS</t>
  </si>
  <si>
    <t>MSCT MASTOID TANPA KONTRAS</t>
  </si>
  <si>
    <t>KECIL</t>
  </si>
  <si>
    <t>SEDANG</t>
  </si>
  <si>
    <t>BESAR</t>
  </si>
  <si>
    <t>KHUSUS</t>
  </si>
  <si>
    <t>Haemoroidectomi Biasa</t>
  </si>
  <si>
    <t>Appendictomi dengan Insisi (atas Umbikalis)</t>
  </si>
  <si>
    <t>Eksisi Tumor Kistik</t>
  </si>
  <si>
    <t>By Pass Hepatiko Enterostomi</t>
  </si>
  <si>
    <t>Kholesistostomi (Drainase)</t>
  </si>
  <si>
    <t>Appendictomi dengan InsisI Pararectal</t>
  </si>
  <si>
    <t>Eksplorasi Abses Psoas</t>
  </si>
  <si>
    <t>Eksisi Tumor Padat</t>
  </si>
  <si>
    <t>Lateral Sfingterotomi</t>
  </si>
  <si>
    <t>Fistulektomi Kompleks</t>
  </si>
  <si>
    <t>Eksplorasi CBD</t>
  </si>
  <si>
    <t>Fistulektomi Simple</t>
  </si>
  <si>
    <t>Herniotomi Insisional</t>
  </si>
  <si>
    <t>Haemorroid Artery Ligation (HAL) + Recto Anal Repair (RAR)</t>
  </si>
  <si>
    <t>Laparatomi Adhesiolisis</t>
  </si>
  <si>
    <t>Invaginasi Usus Laparascopic Cholecystectomi</t>
  </si>
  <si>
    <t>Hartman Procedure</t>
  </si>
  <si>
    <t>Herniotomi Dengan Komplikasi (Reseksi Usus)</t>
  </si>
  <si>
    <t>Hemikolektomi</t>
  </si>
  <si>
    <t>Open Herniotomi + Mesh</t>
  </si>
  <si>
    <t>Laparascopy Appendictomi</t>
  </si>
  <si>
    <t>Laparaskopik Herniotomi + Mesh</t>
  </si>
  <si>
    <t>Herniotomi</t>
  </si>
  <si>
    <t>Laparatomi (Colostomi)</t>
  </si>
  <si>
    <t>Laparatomi Anterior Reseksi</t>
  </si>
  <si>
    <t>Laparotomi (Ileostomi)</t>
  </si>
  <si>
    <t>Laparatomi Eksplorasi</t>
  </si>
  <si>
    <t>Open Kolesistektomi</t>
  </si>
  <si>
    <t>Lapcole dengan Perlengketan</t>
  </si>
  <si>
    <t>Pro Haemoroidektomi Stapler</t>
  </si>
  <si>
    <t>Partial Gastrectomi</t>
  </si>
  <si>
    <t>Reseksi Anastomose Ileum lebih dari satu</t>
  </si>
  <si>
    <t>Perforasi Gaster atau Perforasi Duodenum</t>
  </si>
  <si>
    <t>Reseksi Usus Anastomosis</t>
  </si>
  <si>
    <t>Reseksi Esofagus 1 atau 3 distal (tanpa Teraktomi)</t>
  </si>
  <si>
    <t>Splenektomi</t>
  </si>
  <si>
    <t>Reseksi Divertikel Duodenum</t>
  </si>
  <si>
    <t>Trauma Hepar Simple</t>
  </si>
  <si>
    <t>Reseksi Kauda Pankreas</t>
  </si>
  <si>
    <t>SILS Appendictomi</t>
  </si>
  <si>
    <t>Trauma Hepar Kompleks</t>
  </si>
  <si>
    <t>Herniotomi Diafragmatical</t>
  </si>
  <si>
    <t>Laparaskopik Eksplorasi CBD</t>
  </si>
  <si>
    <t>Laparatomi Low Anterior Resection (LAR)</t>
  </si>
  <si>
    <t>Laparatomi Reseksi Abdominoperineal (Miles Procedure)</t>
  </si>
  <si>
    <t>Reseksi Esofagus</t>
  </si>
  <si>
    <t>Single Incision Laparascopy Surgery (SILS) Cholesistektomi</t>
  </si>
  <si>
    <t>Total Gastrectomi</t>
  </si>
  <si>
    <t>Whipple</t>
  </si>
  <si>
    <t>MOW</t>
  </si>
  <si>
    <t>Ekstirpasi Kista</t>
  </si>
  <si>
    <t>Percutan Nefrostomi</t>
  </si>
  <si>
    <t>Aff DJ Stent</t>
  </si>
  <si>
    <t>Biopsi Testis</t>
  </si>
  <si>
    <t>Circumsisi</t>
  </si>
  <si>
    <t>Cystoscopy</t>
  </si>
  <si>
    <t>Hidrokel Testis</t>
  </si>
  <si>
    <t>Insersi DJ Stent</t>
  </si>
  <si>
    <t>Orkiodektomi</t>
  </si>
  <si>
    <t>Repair Ureter</t>
  </si>
  <si>
    <t>Cystoskopi + Biopsi</t>
  </si>
  <si>
    <t>Torsio Testi +Orkidopeksi</t>
  </si>
  <si>
    <t>Vasektomi PRG</t>
  </si>
  <si>
    <t>Punksi Kista Ginjal</t>
  </si>
  <si>
    <t>Skleroterapi</t>
  </si>
  <si>
    <t>Urerotomi Interna (Sachse)</t>
  </si>
  <si>
    <t>URS Litotripsi</t>
  </si>
  <si>
    <t>Ekstraksi Serumen</t>
  </si>
  <si>
    <t>Insisi Abses Peritonsiler</t>
  </si>
  <si>
    <t>Insisi Abses Septum</t>
  </si>
  <si>
    <t>Insisi Hematoma</t>
  </si>
  <si>
    <t>Tampon Hidung</t>
  </si>
  <si>
    <t>Biopsi Tumor</t>
  </si>
  <si>
    <t xml:space="preserve">Anstrostomi (Sinus Maksilaris) </t>
  </si>
  <si>
    <t>Esofagoskopi</t>
  </si>
  <si>
    <t>Mikrolaringoskopi</t>
  </si>
  <si>
    <t xml:space="preserve">Duktustiroglosus </t>
  </si>
  <si>
    <t>Faringostomi</t>
  </si>
  <si>
    <t xml:space="preserve">Palatoplasti </t>
  </si>
  <si>
    <t>Rinoplasti</t>
  </si>
  <si>
    <t xml:space="preserve">Septoplasti </t>
  </si>
  <si>
    <t xml:space="preserve">Trakheostomy </t>
  </si>
  <si>
    <t>Labioplasti</t>
  </si>
  <si>
    <t>Eksplorasi Abses Leher Luar</t>
  </si>
  <si>
    <t>Eksisi/Biopsi Liang Telinga</t>
  </si>
  <si>
    <t xml:space="preserve">Eksplorasi Kista Telinga </t>
  </si>
  <si>
    <t>Ekstraksi Benda Asing yang Sulit</t>
  </si>
  <si>
    <t>Ekstraksi Serumen yang Sulit</t>
  </si>
  <si>
    <t>Ekstraksi Polip Ethmoidektomi</t>
  </si>
  <si>
    <t>Pemasangan Grommet</t>
  </si>
  <si>
    <t>Pemasangan Tube</t>
  </si>
  <si>
    <t>Pemasangan Tampon Posterior</t>
  </si>
  <si>
    <t>Pembukaan Lubang</t>
  </si>
  <si>
    <t>Rekonstruksi Hidung (Closed Fraktur)</t>
  </si>
  <si>
    <t>Tonsilektomi</t>
  </si>
  <si>
    <t>Tumor Daun Telinga</t>
  </si>
  <si>
    <t>Turbinektomi / Konkotomi</t>
  </si>
  <si>
    <t>Caldwell Luc</t>
  </si>
  <si>
    <t>Eksplorasi Abses Leher Dalam</t>
  </si>
  <si>
    <t xml:space="preserve">Eksplorasi Kista Sinus Maksilaris </t>
  </si>
  <si>
    <t>Ekstirpasi Kista Para</t>
  </si>
  <si>
    <t xml:space="preserve">Ekstirpasi Polip </t>
  </si>
  <si>
    <t>Ethmoidektomi</t>
  </si>
  <si>
    <t xml:space="preserve">Frontoekdiotomi </t>
  </si>
  <si>
    <t xml:space="preserve">Fungsi Sinus Maksilaris </t>
  </si>
  <si>
    <t xml:space="preserve">Laringo Fiksur / Eksplorasi Laring </t>
  </si>
  <si>
    <t>Myringoplasti / Miringotomi</t>
  </si>
  <si>
    <t xml:space="preserve">Neuroktomi Saraf VII </t>
  </si>
  <si>
    <t>Rekonstruksi Hidung Open Fraktur</t>
  </si>
  <si>
    <t>Rhinotomi</t>
  </si>
  <si>
    <t>Septum Reseksi Sub Mukus/ SMR</t>
  </si>
  <si>
    <t>Tonsilektomi dengan Penyulit</t>
  </si>
  <si>
    <t>Angiofibroma Nasofaring</t>
  </si>
  <si>
    <t>Dekompresi Fasialis</t>
  </si>
  <si>
    <t>FESS (Bedah Sinus Endoskopi Fungsional): Bronkoskopi, Trakheoskopi, Laringoskopi</t>
  </si>
  <si>
    <t>Fors Head Flap</t>
  </si>
  <si>
    <t>Glosektomi Total / Partial</t>
  </si>
  <si>
    <t>Laringektomi</t>
  </si>
  <si>
    <t>Myocutaneus Flap (Pectoralis Mayor)</t>
  </si>
  <si>
    <t>Neck Desection (ND)</t>
  </si>
  <si>
    <t>Panendoskopi</t>
  </si>
  <si>
    <t>Pharingeal Flap</t>
  </si>
  <si>
    <t>Radikal Neck Desection (RND)</t>
  </si>
  <si>
    <t>Regional Flap</t>
  </si>
  <si>
    <t>Stapedektomy</t>
  </si>
  <si>
    <t>Timpanoplati: Mastoidektomi, Temporal Bone Desection</t>
  </si>
  <si>
    <t>Eksisi Ganglion</t>
  </si>
  <si>
    <t>Insisi</t>
  </si>
  <si>
    <t>Phymosis</t>
  </si>
  <si>
    <t>Pasang Bidai / Gips</t>
  </si>
  <si>
    <t>Tumor Diamer &lt; 2cm</t>
  </si>
  <si>
    <t>Anoplastik (Atresia Ani Letak Rendah)</t>
  </si>
  <si>
    <t>Eksisi FAM / Mamae Aberans / Gynecomastia</t>
  </si>
  <si>
    <t>Eksisi Hemangioma Kecil</t>
  </si>
  <si>
    <t>Eksisi Limfadenopati</t>
  </si>
  <si>
    <t>Escharatomy</t>
  </si>
  <si>
    <t>Fistulektomi</t>
  </si>
  <si>
    <t xml:space="preserve">Herniotomi </t>
  </si>
  <si>
    <t>Pasang Cimino</t>
  </si>
  <si>
    <t>Polip Rekti</t>
  </si>
  <si>
    <t>Skin Grafting Tidak Luas</t>
  </si>
  <si>
    <t>Tumor Diameter &gt; 2cm</t>
  </si>
  <si>
    <t>Appendiktomi dengan Komplikasi (Perforasi, Abses, Infiltrat)</t>
  </si>
  <si>
    <t>Colostomi / Ileostomi</t>
  </si>
  <si>
    <t>Eksisi Hemangioma Besar</t>
  </si>
  <si>
    <t>Fistulektomi Sulit</t>
  </si>
  <si>
    <t>Gastrotomi</t>
  </si>
  <si>
    <t>Kholedokaduodenostomi</t>
  </si>
  <si>
    <t>Kholesistektomi</t>
  </si>
  <si>
    <t>Laparotomi</t>
  </si>
  <si>
    <t>Multiple Eksisi STT</t>
  </si>
  <si>
    <t>Obstruksi Usus / Invaginasi</t>
  </si>
  <si>
    <t>Perdarahan Karena Kerusakan Pembuluh Darah</t>
  </si>
  <si>
    <t>Radikal Mastektomi</t>
  </si>
  <si>
    <t>Skin Grafting Luas</t>
  </si>
  <si>
    <t>Stripping Varices</t>
  </si>
  <si>
    <t>Subtotal Lobektomi</t>
  </si>
  <si>
    <t xml:space="preserve">Superficial Parotidektomi </t>
  </si>
  <si>
    <t>Eksisi Limfadenopati Multiple</t>
  </si>
  <si>
    <t>Aneurisma Aorta Abdominalis</t>
  </si>
  <si>
    <t>Diseksi KGB Retroperitoneal</t>
  </si>
  <si>
    <t>Diseksi Leher Radikal (RND)</t>
  </si>
  <si>
    <t>Eksentrasi Pelvis</t>
  </si>
  <si>
    <t>Eksplorasi Duktus Kholedokus</t>
  </si>
  <si>
    <t>Fore Quarter Amputation</t>
  </si>
  <si>
    <t>Gastrektomi (B1 B2)</t>
  </si>
  <si>
    <t>Glosectomy</t>
  </si>
  <si>
    <t>Kholedokajejunostomi</t>
  </si>
  <si>
    <t>Kholesistektomi Sulit</t>
  </si>
  <si>
    <t>Low Anterior Resection</t>
  </si>
  <si>
    <t>Maksilektomi</t>
  </si>
  <si>
    <t>Miles</t>
  </si>
  <si>
    <t>Op. Duhamel / Swenson / Rebola</t>
  </si>
  <si>
    <t>Op. Komando</t>
  </si>
  <si>
    <t>Op. Nakayama</t>
  </si>
  <si>
    <t>Pankreaotektomi</t>
  </si>
  <si>
    <t>Prosedur By Pass</t>
  </si>
  <si>
    <t>Reseksi Anastomose Usus</t>
  </si>
  <si>
    <t>Reseksi Esofagus Dengan Inter Posisi Kolon / Gaster</t>
  </si>
  <si>
    <t>Reseksi Hepar</t>
  </si>
  <si>
    <t>Thyroid</t>
  </si>
  <si>
    <t>Total Gastrektomi , Total Golsectomy</t>
  </si>
  <si>
    <t>Total Parotidektomi</t>
  </si>
  <si>
    <t>Total Tiroidektomi</t>
  </si>
  <si>
    <t>Transeksi Esophagus</t>
  </si>
  <si>
    <t>Amputasi Hindquarter / Forequarter</t>
  </si>
  <si>
    <t>Brachial Plexus Injury</t>
  </si>
  <si>
    <t>Dekompresi</t>
  </si>
  <si>
    <t>Angkat Wire</t>
  </si>
  <si>
    <t xml:space="preserve">Multiple Amputasi </t>
  </si>
  <si>
    <t>Debridemen Luas</t>
  </si>
  <si>
    <t>Megaprothese Bone Tumor</t>
  </si>
  <si>
    <t xml:space="preserve">Reposisi Tertutup </t>
  </si>
  <si>
    <t xml:space="preserve">Debridemen </t>
  </si>
  <si>
    <t>Replantasi Jari</t>
  </si>
  <si>
    <t>Serial Gips</t>
  </si>
  <si>
    <t>Flap</t>
  </si>
  <si>
    <t>Total Hip Replacement (THR)</t>
  </si>
  <si>
    <t>Ganglion, Fibroma</t>
  </si>
  <si>
    <t>Total Knee Replacement (TKR)</t>
  </si>
  <si>
    <t>Release CTS</t>
  </si>
  <si>
    <t xml:space="preserve">Release Kontraktur </t>
  </si>
  <si>
    <t>Skin Graft Besar</t>
  </si>
  <si>
    <t>Endoprothesis</t>
  </si>
  <si>
    <t>Laminectomi + Pedicle Screw</t>
  </si>
  <si>
    <t>Dequerain</t>
  </si>
  <si>
    <t xml:space="preserve">Nailing </t>
  </si>
  <si>
    <t>Orif</t>
  </si>
  <si>
    <t>Arthroscopy</t>
  </si>
  <si>
    <t xml:space="preserve">Amputasi Digiti </t>
  </si>
  <si>
    <t xml:space="preserve">Debridemen Ringan </t>
  </si>
  <si>
    <t xml:space="preserve">Insisi Abses </t>
  </si>
  <si>
    <t xml:space="preserve">Skin Graft Kecil </t>
  </si>
  <si>
    <t>Biopsi / Eksisi / Ekstirpasi</t>
  </si>
  <si>
    <t>Reposisi Tertutup</t>
  </si>
  <si>
    <t>Repair Amputae</t>
  </si>
  <si>
    <t>Amputasi Proximal dari Digiti</t>
  </si>
  <si>
    <t xml:space="preserve">Angkat Plate Screw </t>
  </si>
  <si>
    <t xml:space="preserve">Fiksasi Eksterna </t>
  </si>
  <si>
    <t xml:space="preserve">Reposisi Terbuka </t>
  </si>
  <si>
    <t>Sambung Pembuluh Darah, Saraf dan Tendon</t>
  </si>
  <si>
    <t xml:space="preserve">Operasi Tulang Belakang </t>
  </si>
  <si>
    <t xml:space="preserve">Reposisi Neglegted </t>
  </si>
  <si>
    <t>Dislokasi</t>
  </si>
  <si>
    <t>Multiple Fraktur / Fraktur Kompleks</t>
  </si>
  <si>
    <t xml:space="preserve">Orif Mal Union / Non-Union </t>
  </si>
  <si>
    <t>Sambung Pembuluh Darah, Saraf dan Tendon Multiple</t>
  </si>
  <si>
    <t xml:space="preserve">Rekonstruksi Pediatrik / Congenital </t>
  </si>
  <si>
    <t xml:space="preserve">Palpebraplasti </t>
  </si>
  <si>
    <t xml:space="preserve">Tarsotomi </t>
  </si>
  <si>
    <t xml:space="preserve">Dacryocystectomy </t>
  </si>
  <si>
    <t>Decisiolentis</t>
  </si>
  <si>
    <t xml:space="preserve">Katarak tanpa IOL </t>
  </si>
  <si>
    <t>Strabismus</t>
  </si>
  <si>
    <t>Ekstraksi Corpus Alienum</t>
  </si>
  <si>
    <t>Epilasi</t>
  </si>
  <si>
    <t>Hordeolum / Kalazion tanpa Anastesi Umum</t>
  </si>
  <si>
    <t>Irigasi Ductus Nasolacrimalis</t>
  </si>
  <si>
    <t xml:space="preserve">Kista pada Palpebra </t>
  </si>
  <si>
    <t>Nevus Kecil</t>
  </si>
  <si>
    <t>Probing Ductus Nasolacrimalis</t>
  </si>
  <si>
    <t xml:space="preserve">Esktirpasi Dermoid / Granuloma / Papiloma </t>
  </si>
  <si>
    <t>Hordeolum / Khalazion dengan Anastesi Umum (Anak-Anak)</t>
  </si>
  <si>
    <t>Pterigium Plastik</t>
  </si>
  <si>
    <t xml:space="preserve">Ruptur Konjungtiva </t>
  </si>
  <si>
    <t xml:space="preserve">Enucleasi Bulbi </t>
  </si>
  <si>
    <t>Eviserasi Bulbi</t>
  </si>
  <si>
    <t>Katarak + IOL</t>
  </si>
  <si>
    <t xml:space="preserve">Repair Ptosis </t>
  </si>
  <si>
    <t xml:space="preserve">Ruptur Kornea / Sklera </t>
  </si>
  <si>
    <t xml:space="preserve">Ablatio Retina </t>
  </si>
  <si>
    <t xml:space="preserve">Dacryocytorhinostomy (DCR) </t>
  </si>
  <si>
    <t xml:space="preserve">Dekompresi Nervus Optika </t>
  </si>
  <si>
    <t>Katarak dengan penyulit + IOL</t>
  </si>
  <si>
    <t>Repair Plastic</t>
  </si>
  <si>
    <t>Appendictomi dengan Komplikasi</t>
  </si>
  <si>
    <t>4. FISIOTERAPI</t>
  </si>
  <si>
    <t>5. RADIOLOGI</t>
  </si>
  <si>
    <t xml:space="preserve">5.1. RONTGEN </t>
  </si>
  <si>
    <t>5.2. CT-SCAN</t>
  </si>
  <si>
    <t>5.3. USG</t>
  </si>
  <si>
    <t>5.4. MRI</t>
  </si>
  <si>
    <t>5.4.1. MRI NON-KONTRAS</t>
  </si>
  <si>
    <t>5.4.2. MRI KONTRAS</t>
  </si>
  <si>
    <t>HITUNG JENIS</t>
  </si>
  <si>
    <t>MCV, MCH, MCHC</t>
  </si>
  <si>
    <t>NATRIUM</t>
  </si>
  <si>
    <t>6. LABORATORIUM</t>
  </si>
  <si>
    <t>7. OPERASI</t>
  </si>
  <si>
    <t>7.1. SEWA RUANG OPERASI</t>
  </si>
  <si>
    <t>7.2. JASA OPERATOR</t>
  </si>
  <si>
    <t>7.2.1. JASA OPERATOR (SPESIALIS BEDAH UMUM, MATA, ORTHOPEDI, THT, UROLOGI, KANDUNGAN, DIGESTIVE)</t>
  </si>
  <si>
    <t>7.3. GOLONGAN TINDAKAN OPERASI</t>
  </si>
  <si>
    <t>7.3.1. Golongan Tindakan Operasi Bedah Umum</t>
  </si>
  <si>
    <t>7.3.2. Golongan Tindakan Operasi Mata</t>
  </si>
  <si>
    <t>7.3.3. Golongan Tindakan Operasi Orthopedi</t>
  </si>
  <si>
    <t>7.3.4. Golongan Tindakan Operasi THT</t>
  </si>
  <si>
    <t>7.3.5. Golongan Tindakan Operasi Urologi</t>
  </si>
  <si>
    <t>7.3.6. Golongan Tindakan Operasi Digestive</t>
  </si>
  <si>
    <t>7.3.7. Golongan Tindakan Operasi Kandungan &amp; Kebidanan</t>
  </si>
  <si>
    <t>7.3.8. Golongan Tindakan Operasi Gigi dan Mulut</t>
  </si>
  <si>
    <t>8. ALAT KESEHATAN</t>
  </si>
  <si>
    <t>9. AMBULANCE</t>
  </si>
  <si>
    <t>KURVA HARIAN</t>
  </si>
  <si>
    <t>DOKTER VISIT</t>
  </si>
  <si>
    <r>
      <rPr>
        <b/>
        <sz val="13"/>
        <color theme="1"/>
        <rFont val="Aptos Narrow"/>
        <family val="2"/>
        <scheme val="minor"/>
      </rPr>
      <t>ICU / ICCU</t>
    </r>
    <r>
      <rPr>
        <b/>
        <sz val="11"/>
        <color theme="1"/>
        <rFont val="Aptos Narrow"/>
        <family val="2"/>
        <scheme val="minor"/>
      </rPr>
      <t xml:space="preserve">
(INTENSIVE CARE UNIT / 
INTENSIVE CORONARY CARE UNIT)</t>
    </r>
  </si>
  <si>
    <r>
      <rPr>
        <b/>
        <sz val="13"/>
        <color theme="1"/>
        <rFont val="Aptos Narrow"/>
        <family val="2"/>
        <scheme val="minor"/>
      </rPr>
      <t>PICU</t>
    </r>
    <r>
      <rPr>
        <b/>
        <sz val="11"/>
        <color theme="1"/>
        <rFont val="Aptos Narrow"/>
        <family val="2"/>
        <scheme val="minor"/>
      </rPr>
      <t xml:space="preserve">
(PEDIATRIC INTENSIVE CARE UNIT)</t>
    </r>
  </si>
  <si>
    <t>ADMNISTRASI</t>
  </si>
  <si>
    <t>RAWAT JALAN</t>
  </si>
  <si>
    <t>RAWAT INAP</t>
  </si>
  <si>
    <t>5% DARI TOTAL BILL</t>
  </si>
  <si>
    <t>ICU/ICCU/NICU/PICU</t>
  </si>
  <si>
    <t>CATATAN :</t>
  </si>
  <si>
    <t>3. Bila pasien memerlukan tindakan operasi di beberapa bagian tubuh dengan diagnosa berbeda, di lokasi tubuh yang berbeda, pada waktu bersamaan &amp; dilakukan oleh dokter yang sama, maka jasa medis dokter operator adalah sebagai berikut:</t>
  </si>
  <si>
    <t>A. Operasi I     : 100%</t>
  </si>
  <si>
    <t>B. Operasi II    : 60%</t>
  </si>
  <si>
    <t>C. Operasi III  : 25%</t>
  </si>
  <si>
    <t>4. Bila pasien memerlukan tindakan operasi di beberapa bagian tubuh dengan diagnosa yang sama, dilokasi tubuh yang berbeda, pada waktu bersamaan &amp; dilakukan oleh dokter yang sama, maka jasa medis dokter operator adalah sebagai berikut :</t>
  </si>
  <si>
    <t>: tarif operasi mengikuti kelas VIP</t>
  </si>
  <si>
    <t>Di ruang ICU, NICU, PICU, HCU</t>
  </si>
  <si>
    <r>
      <t xml:space="preserve">1. Tarif jasa dokter anastesi adalah </t>
    </r>
    <r>
      <rPr>
        <b/>
        <sz val="11"/>
        <color theme="1"/>
        <rFont val="Calibri"/>
        <family val="2"/>
      </rPr>
      <t>40% dari tarif jasa operator.</t>
    </r>
  </si>
  <si>
    <r>
      <t xml:space="preserve">2. Tarif jasa dokter spesialis anak adalah </t>
    </r>
    <r>
      <rPr>
        <b/>
        <sz val="11"/>
        <color theme="1"/>
        <rFont val="Calibri"/>
        <family val="2"/>
      </rPr>
      <t>25% dari tarif jasa dokter spesialis obgyn (Untuk kasus operasi SC).</t>
    </r>
  </si>
  <si>
    <r>
      <t>5</t>
    </r>
    <r>
      <rPr>
        <b/>
        <sz val="11"/>
        <color rgb="FF000000"/>
        <rFont val="Calibri"/>
        <family val="2"/>
      </rPr>
      <t>.</t>
    </r>
    <r>
      <rPr>
        <b/>
        <sz val="11"/>
        <color theme="1"/>
        <rFont val="Calibri"/>
        <family val="2"/>
      </rPr>
      <t> </t>
    </r>
    <r>
      <rPr>
        <sz val="11"/>
        <color rgb="FF000000"/>
        <rFont val="Calibri"/>
        <family val="2"/>
      </rPr>
      <t xml:space="preserve">Bila pasien memerlukan tindakan operasi di beberapa bagian tubuh pada waktu bersamaan, tetapi oleh lebih dari satu dokter spesialis yang berlainan, maka tarif jasa operasi dokter spesialis tersebut adalah </t>
    </r>
    <r>
      <rPr>
        <b/>
        <sz val="11"/>
        <color rgb="FF000000"/>
        <rFont val="Calibri"/>
        <family val="2"/>
      </rPr>
      <t>sesuai dengan tarif jasa operasi masing-masing dokter spesialis tersebut.</t>
    </r>
  </si>
  <si>
    <r>
      <t xml:space="preserve">6. Jika sebuah operasi memerlukan dokter operator kedua dengan bidang spesialisasi yang sama, maka jasa dokter operator kedua adalah </t>
    </r>
    <r>
      <rPr>
        <b/>
        <sz val="11"/>
        <color rgb="FF000000"/>
        <rFont val="Calibri"/>
        <family val="2"/>
      </rPr>
      <t>25 % dari jasa dokter operator pertama.</t>
    </r>
  </si>
  <si>
    <r>
      <t>7.</t>
    </r>
    <r>
      <rPr>
        <sz val="11"/>
        <color theme="1"/>
        <rFont val="Calibri"/>
        <family val="2"/>
      </rPr>
      <t> </t>
    </r>
    <r>
      <rPr>
        <sz val="11"/>
        <color rgb="FF000000"/>
        <rFont val="Calibri"/>
        <family val="2"/>
      </rPr>
      <t>Jika operasi tersebut dinyakan cito , dengan ketentuan :</t>
    </r>
  </si>
  <si>
    <r>
      <t>a.</t>
    </r>
    <r>
      <rPr>
        <b/>
        <sz val="11"/>
        <color theme="1"/>
        <rFont val="Calibri"/>
        <family val="2"/>
      </rPr>
      <t xml:space="preserve">    </t>
    </r>
    <r>
      <rPr>
        <sz val="11"/>
        <color rgb="FF000000"/>
        <rFont val="Calibri"/>
        <family val="2"/>
      </rPr>
      <t>operasi dilakukan pada hari libur nasional dan dinyatakan operasi CITO sesuai indikasi medis.</t>
    </r>
  </si>
  <si>
    <r>
      <t>b.</t>
    </r>
    <r>
      <rPr>
        <b/>
        <sz val="11"/>
        <color theme="1"/>
        <rFont val="Calibri"/>
        <family val="2"/>
      </rPr>
      <t xml:space="preserve">    </t>
    </r>
    <r>
      <rPr>
        <sz val="11"/>
        <color rgb="FF000000"/>
        <rFont val="Calibri"/>
        <family val="2"/>
      </rPr>
      <t>atau dihari biasa diantara jam 21.00 - 07.00 dan dinyatakan operasi CITO sesuai indikasi medis</t>
    </r>
  </si>
  <si>
    <r>
      <t>c.</t>
    </r>
    <r>
      <rPr>
        <b/>
        <sz val="11"/>
        <color theme="1"/>
        <rFont val="Calibri"/>
        <family val="2"/>
      </rPr>
      <t xml:space="preserve">    </t>
    </r>
    <r>
      <rPr>
        <sz val="11"/>
        <color rgb="FF000000"/>
        <rFont val="Calibri"/>
        <family val="2"/>
      </rPr>
      <t xml:space="preserve">atau dihari libur atas permintaan pasien, dan pasien bersedia menjadi CITO, </t>
    </r>
  </si>
  <si>
    <r>
      <t>8</t>
    </r>
    <r>
      <rPr>
        <b/>
        <sz val="11"/>
        <color rgb="FF000000"/>
        <rFont val="Calibri"/>
        <family val="2"/>
      </rPr>
      <t>.</t>
    </r>
    <r>
      <rPr>
        <b/>
        <sz val="11"/>
        <color theme="1"/>
        <rFont val="Calibri"/>
        <family val="2"/>
      </rPr>
      <t> </t>
    </r>
    <r>
      <rPr>
        <sz val="11"/>
        <color rgb="FF000000"/>
        <rFont val="Calibri"/>
        <family val="2"/>
      </rPr>
      <t>Jika operasi dengan penyulit, maka jasa dokter operator</t>
    </r>
    <r>
      <rPr>
        <i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Calibri"/>
        <family val="2"/>
      </rPr>
      <t>ditambah 25 % dan jasa dokter serta tim ok lainpun akan mengikuti % jasa dokter operator.</t>
    </r>
  </si>
  <si>
    <r>
      <t>9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Calibri"/>
        <family val="2"/>
      </rPr>
      <t xml:space="preserve">Jika ada tindakan lain, </t>
    </r>
    <r>
      <rPr>
        <b/>
        <sz val="11"/>
        <color rgb="FF000000"/>
        <rFont val="Calibri"/>
        <family val="2"/>
      </rPr>
      <t>maka tarif akan berubah, mengikuti tarif yang berlaku di rumah sakit.</t>
    </r>
  </si>
  <si>
    <r>
      <t>10.</t>
    </r>
    <r>
      <rPr>
        <b/>
        <sz val="11"/>
        <color theme="1"/>
        <rFont val="Calibri"/>
        <family val="2"/>
      </rPr>
      <t> </t>
    </r>
    <r>
      <rPr>
        <sz val="11"/>
        <color rgb="FF000000"/>
        <rFont val="Calibri"/>
        <family val="2"/>
      </rPr>
      <t xml:space="preserve">Bila ada SARANA PRASARANA kesehatan / implant/ sewa alat yang belum tercantum, </t>
    </r>
    <r>
      <rPr>
        <b/>
        <sz val="11"/>
        <color rgb="FF000000"/>
        <rFont val="Calibri"/>
        <family val="2"/>
      </rPr>
      <t>tarif nya akan ditentukan oleh rumah sakit sesuai tarif yang berlaku.</t>
    </r>
  </si>
  <si>
    <r>
      <t>12.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Calibri"/>
        <family val="2"/>
      </rPr>
      <t>Tarif operasi untuk pasien yang dirawat di ruang khusus, ketentuannya adalah sebagai berikut :</t>
    </r>
  </si>
  <si>
    <r>
      <t>14.</t>
    </r>
    <r>
      <rPr>
        <sz val="11"/>
        <color theme="1"/>
        <rFont val="Calibri"/>
        <family val="2"/>
      </rPr>
      <t xml:space="preserve"> </t>
    </r>
    <r>
      <rPr>
        <sz val="11"/>
        <color rgb="FF000000"/>
        <rFont val="Calibri"/>
        <family val="2"/>
      </rPr>
      <t xml:space="preserve">Biaya administrasi rawat inap adalah </t>
    </r>
    <r>
      <rPr>
        <b/>
        <sz val="11"/>
        <color rgb="FF000000"/>
        <rFont val="Calibri"/>
        <family val="2"/>
      </rPr>
      <t>5 % dari total biaya perawatan rumah sakit.</t>
    </r>
  </si>
  <si>
    <r>
      <t xml:space="preserve">    maka jasa dokter operator ditambah </t>
    </r>
    <r>
      <rPr>
        <b/>
        <sz val="11"/>
        <color rgb="FF000000"/>
        <rFont val="Calibri"/>
        <family val="2"/>
      </rPr>
      <t>25%, dan jasa dokter serta tim ok lainpun akan mengikuti % jasa dokter operator.</t>
    </r>
  </si>
  <si>
    <r>
      <t>13.</t>
    </r>
    <r>
      <rPr>
        <sz val="11"/>
        <color theme="1"/>
        <rFont val="Calibri"/>
        <family val="2"/>
      </rPr>
      <t> </t>
    </r>
    <r>
      <rPr>
        <sz val="11"/>
        <color rgb="FF000000"/>
        <rFont val="Calibri"/>
        <family val="2"/>
      </rPr>
      <t xml:space="preserve">Bila ada kebutuhan konsultasi dokter spesialis ke dokter spesialis dari bidang yang lain tanpa ada tindakan di meja operasi, </t>
    </r>
    <r>
      <rPr>
        <b/>
        <sz val="11"/>
        <color rgb="FF000000"/>
        <rFont val="Calibri"/>
        <family val="2"/>
      </rPr>
      <t>maka jasa konsultasi terhadap     dokter tersebut adalah Rp. 150.000.-</t>
    </r>
  </si>
  <si>
    <r>
      <t xml:space="preserve">11. </t>
    </r>
    <r>
      <rPr>
        <b/>
        <sz val="11"/>
        <color rgb="FF000000"/>
        <rFont val="Calibri"/>
        <family val="2"/>
      </rPr>
      <t>Tarif kamar operasi ditetapkan berdasarkan jenis kelas perawatan tertinggi yang diambil pasien</t>
    </r>
    <r>
      <rPr>
        <sz val="11"/>
        <color rgb="FF000000"/>
        <rFont val="Calibri"/>
        <family val="2"/>
      </rPr>
      <t>, tidak ditentukan oleh kelas perawatan sebelum / setelah tindakan operasi dilakukan.</t>
    </r>
  </si>
  <si>
    <t>KETERANGAN :</t>
  </si>
  <si>
    <t>UNTUK TINDAKAN OPERASI YANG BELUM MASUK KEDALAM TABEL PENGGOLONGAN TERSEBUT, AKAN DISESUAIKAN SESUAI DENGAN KLASIFIKASI YANG BERLAKU DI RUMAH SAKIT.</t>
  </si>
  <si>
    <t>10. LAIN-LAIN</t>
  </si>
  <si>
    <t>Daftar tarif tersebut dapat berubah sewaktu-waktu dengan atau tanpa pemberitahuan sebelumnya.</t>
  </si>
  <si>
    <t>Apabila ada jasa atau pemeriksaan atau tindakan dan hal lain yang belum tercantum dibuku ini, maka tarif yang dikenakan adalah sesuai dengan tarif rumah sakit yang berlaku.</t>
  </si>
  <si>
    <t>Apabila ada kesalahan dalam penerbitan buku tarif rumah sakit ini, maka pihak rumah sakit akan melakukan perbaikan sesegera mungkin dan akan menyampaikan kepada pihak rekanan.</t>
  </si>
  <si>
    <t>dr. Nisinno S. Kosala, MARS</t>
  </si>
  <si>
    <t>DIREKTUR RS PERMATA KELUARGA SUMMARECON BEKASI</t>
  </si>
  <si>
    <t>• 3 Tempat Tidur
• 3 Kursi tunggu
• 3 TV LED 42”
• 3 Sidebed Nakas</t>
  </si>
  <si>
    <t>Appendiktomi</t>
  </si>
  <si>
    <t>KELAS 3 / RAWAT JALAN</t>
  </si>
  <si>
    <t>DIATHERMY MWD / SWD</t>
  </si>
  <si>
    <t>ESWT</t>
  </si>
  <si>
    <t>PEMAKAIAN NEBULIZER + CHEST FISIOTERAPI</t>
  </si>
  <si>
    <t xml:space="preserve">Tracheoctomy </t>
  </si>
  <si>
    <t>WSD</t>
  </si>
  <si>
    <t xml:space="preserve">Adenoidektomi </t>
  </si>
  <si>
    <t xml:space="preserve">Eksplorasi nasopharing </t>
  </si>
  <si>
    <t>Ekstraksi benda asing di hidung</t>
  </si>
  <si>
    <t>Ekstraksi benda asing di telinga</t>
  </si>
  <si>
    <t xml:space="preserve">Evakuasi clot percutan </t>
  </si>
  <si>
    <t xml:space="preserve">Ekstirpasi kista bartholini </t>
  </si>
  <si>
    <t>Embriotomi</t>
  </si>
  <si>
    <t xml:space="preserve">Histerektomi total &amp; SOB (salpingo ovorektomi bilateral) </t>
  </si>
  <si>
    <t>Histeroraphy</t>
  </si>
  <si>
    <t>Kista endometriosis</t>
  </si>
  <si>
    <t xml:space="preserve">Ket </t>
  </si>
  <si>
    <t>Kista ovarium permagna</t>
  </si>
  <si>
    <t>Manual placenta dalam narkose</t>
  </si>
  <si>
    <t xml:space="preserve">Laparatomi – kista </t>
  </si>
  <si>
    <t>Laparatomi</t>
  </si>
  <si>
    <t>Perbaikan luka sayat episiotomi dengan infeksi sekunder</t>
  </si>
  <si>
    <t xml:space="preserve">Miomektomi </t>
  </si>
  <si>
    <t>Sectio + tubectomy</t>
  </si>
  <si>
    <t xml:space="preserve">Repair robekan perineum lama </t>
  </si>
  <si>
    <t>Reposisi uterus pada inversio uteri (laparatomi)</t>
  </si>
  <si>
    <t>Reparasi burts abdomen</t>
  </si>
  <si>
    <t xml:space="preserve">Sectio caesaria (SC) </t>
  </si>
  <si>
    <t>Kuretase</t>
  </si>
  <si>
    <t>Operasi Fiksasi Reposisi Fraktur Mandibula</t>
  </si>
  <si>
    <t>Operasi Odontektomi Bilateral</t>
  </si>
  <si>
    <t>ACA IGG</t>
  </si>
  <si>
    <t>ACA IGM</t>
  </si>
  <si>
    <t>ADA ( ADENOSIN DEAMINASE )</t>
  </si>
  <si>
    <t>ALERGI SUSU SAPI</t>
  </si>
  <si>
    <t>ALPA HBDH</t>
  </si>
  <si>
    <t>AMILASE</t>
  </si>
  <si>
    <t>ANA</t>
  </si>
  <si>
    <t>ANAL SWAB</t>
  </si>
  <si>
    <t>ANALISA HB (ELEKTROFORESA/ HPLC)</t>
  </si>
  <si>
    <t>ANCA</t>
  </si>
  <si>
    <t>ANTI AMOEBA</t>
  </si>
  <si>
    <t>ANTI CMV IGG</t>
  </si>
  <si>
    <t>ANTI CMV IGM</t>
  </si>
  <si>
    <t>ANTI DS DNA</t>
  </si>
  <si>
    <t>ANTI HAV IGG</t>
  </si>
  <si>
    <t>ANTI HAV IGM</t>
  </si>
  <si>
    <t>ANTI HBC</t>
  </si>
  <si>
    <t>ANTI HBC IGM</t>
  </si>
  <si>
    <t>ANTI HBE</t>
  </si>
  <si>
    <t>ANTI HBS</t>
  </si>
  <si>
    <t>ANTI HCV IGM</t>
  </si>
  <si>
    <t>ANTI HSV-1 IGG</t>
  </si>
  <si>
    <t>ANTI HSV-1 IGM</t>
  </si>
  <si>
    <t>ANTI HSV-2 IGG</t>
  </si>
  <si>
    <t>ANTI HSV-2 IGM</t>
  </si>
  <si>
    <t>ANTIBODI TROMBOSIT</t>
  </si>
  <si>
    <t>AP-TES</t>
  </si>
  <si>
    <t>APTT (S)</t>
  </si>
  <si>
    <t>ASAM FOLAT</t>
  </si>
  <si>
    <t>ASAM LAKTAT</t>
  </si>
  <si>
    <t>BETA 2 GLIKOPROTEIN (IGG IGM)</t>
  </si>
  <si>
    <t>C4</t>
  </si>
  <si>
    <t>CA 125 (OVARIUM )</t>
  </si>
  <si>
    <t>CA 15-3( PAYUDARA )</t>
  </si>
  <si>
    <t>CA 19-9 ( PANKREAS )</t>
  </si>
  <si>
    <t>CADMIUM (CD)</t>
  </si>
  <si>
    <t>CALCITONIN</t>
  </si>
  <si>
    <t>CD8</t>
  </si>
  <si>
    <t>CHOLINESTERASE</t>
  </si>
  <si>
    <t>CPK /CK</t>
  </si>
  <si>
    <t>CROSS MATCH</t>
  </si>
  <si>
    <t>CYFRA 21-1</t>
  </si>
  <si>
    <t>DENGUE NS1 ANTIGEN</t>
  </si>
  <si>
    <t>DOWN SINDROME</t>
  </si>
  <si>
    <t>DOWN SINDROME 2</t>
  </si>
  <si>
    <t>ELEKTROLIT KALIUM</t>
  </si>
  <si>
    <t>FT1</t>
  </si>
  <si>
    <t>GLDH</t>
  </si>
  <si>
    <t>GOLONGAN DARAH PMI</t>
  </si>
  <si>
    <t>HAV TOTAL</t>
  </si>
  <si>
    <t>HB A2</t>
  </si>
  <si>
    <t>HB F</t>
  </si>
  <si>
    <t>HBEAG</t>
  </si>
  <si>
    <t>HBSAG</t>
  </si>
  <si>
    <t>HBSAG (ELISA)</t>
  </si>
  <si>
    <t>HBSAG EIA</t>
  </si>
  <si>
    <t>HELICOBACTER PYLORI IGG</t>
  </si>
  <si>
    <t>HELICOBACTER PYLORI IGM</t>
  </si>
  <si>
    <t>HISTOLOGI JARINGAN KECIL (RSCM)</t>
  </si>
  <si>
    <t>HISTOPATOLOGI GASTER/ COLON /ESOFAGUS 1 BOTOL</t>
  </si>
  <si>
    <t>HISTOPATOLOGI GASTER/ COLON /ESOFAGUS 2 BOTOL</t>
  </si>
  <si>
    <t>HISTOPATOLOGI GASTER/ COLON /ESOFAGUS 3-4 BOTOL</t>
  </si>
  <si>
    <t>HISTOPATOLOGI JARINGAN &gt; 1 ORGAN</t>
  </si>
  <si>
    <t>HISTOPATOLOGI JARINGAN PA KROMOSOM</t>
  </si>
  <si>
    <t>HISTOPATOLOGI JARINGAN SEDANG(RSCM)</t>
  </si>
  <si>
    <t>HOMOCYSTEIN</t>
  </si>
  <si>
    <t>HPV (GENARAL TYPE) -PCR</t>
  </si>
  <si>
    <t>HPV DNA</t>
  </si>
  <si>
    <t>HS-CRP</t>
  </si>
  <si>
    <t>IGA</t>
  </si>
  <si>
    <t>IGE SPESIFIK JAMUR PENICILLIN</t>
  </si>
  <si>
    <t>IGE TOTAL</t>
  </si>
  <si>
    <t>IGG</t>
  </si>
  <si>
    <t>IGM</t>
  </si>
  <si>
    <t>IGRA TEST</t>
  </si>
  <si>
    <t>IMUNOHISTOKIMIA</t>
  </si>
  <si>
    <t>INR</t>
  </si>
  <si>
    <t>KETON DARAH</t>
  </si>
  <si>
    <t>KULTUR ABSES TONSIL</t>
  </si>
  <si>
    <t>KULTUR BTA</t>
  </si>
  <si>
    <t>KULTUR CAIRAN PLEURA</t>
  </si>
  <si>
    <t>KULTUR CAIRAN TUBUH</t>
  </si>
  <si>
    <t>KULTUR DARAH</t>
  </si>
  <si>
    <t>KULTUR FAECES</t>
  </si>
  <si>
    <t>KULTUR FARINGIAL</t>
  </si>
  <si>
    <t>KULTUR JAMUR</t>
  </si>
  <si>
    <t>KULTUR LCS</t>
  </si>
  <si>
    <t>KULTUR PUS</t>
  </si>
  <si>
    <t>KULTUR RESISTENSI</t>
  </si>
  <si>
    <t>KULTUR SEKRET CONJUNGTIVA</t>
  </si>
  <si>
    <t>KULTUR SPUTUM</t>
  </si>
  <si>
    <t>KULTUR SWAB TENGGOROK</t>
  </si>
  <si>
    <t>KULTUR URIN</t>
  </si>
  <si>
    <t>LEPTOSPIRA IGM</t>
  </si>
  <si>
    <t>LIPASE</t>
  </si>
  <si>
    <t>LIPOPROTEIN (A)</t>
  </si>
  <si>
    <t>MCA ( PAYUDARA )</t>
  </si>
  <si>
    <t>MS TROMBIN</t>
  </si>
  <si>
    <t>MS. PROTOMBIN</t>
  </si>
  <si>
    <t>MS.PROTROMBIN</t>
  </si>
  <si>
    <t>MS.TROMBIN</t>
  </si>
  <si>
    <t>NSE</t>
  </si>
  <si>
    <t>OSMOLARITAS URIN</t>
  </si>
  <si>
    <t>PAKET ALERGI ATOPY PANEL INDONESIA</t>
  </si>
  <si>
    <t>PAKET NAPZA 4 PARAMETER</t>
  </si>
  <si>
    <t>PAKET NAPZA 6 PARAMETER</t>
  </si>
  <si>
    <t>PANEL ALERGI MAKANAN</t>
  </si>
  <si>
    <t>PAPP-A</t>
  </si>
  <si>
    <t>PB DALAM DARAH</t>
  </si>
  <si>
    <t>PCR SAR COV -2 *</t>
  </si>
  <si>
    <t>PCR TB</t>
  </si>
  <si>
    <t>PENGECATAN DIPHTERIA</t>
  </si>
  <si>
    <t>PHOSPOR ANORGANIK</t>
  </si>
  <si>
    <t>PROCALCITONIN ( PCT )</t>
  </si>
  <si>
    <t>PROTEIN BENCE JONES</t>
  </si>
  <si>
    <t>PROTEIN ELEKTROFORESA</t>
  </si>
  <si>
    <t>PROTEIN ESBACH</t>
  </si>
  <si>
    <t>PROTEIN URIN 24 JAM</t>
  </si>
  <si>
    <t>PROTEIN URIN KWANTITATIF</t>
  </si>
  <si>
    <t>PTH</t>
  </si>
  <si>
    <t>ROTAVIRUS</t>
  </si>
  <si>
    <t>RUBELLA IGG</t>
  </si>
  <si>
    <t>RUBELLA IGM</t>
  </si>
  <si>
    <t>SALMONELA TYPHI IGM</t>
  </si>
  <si>
    <t>SERAMOEBA KUANTITATIF</t>
  </si>
  <si>
    <t>SITOLOGI CAIRAN VAGINA</t>
  </si>
  <si>
    <t>SITOLOGI URINE</t>
  </si>
  <si>
    <t>SMALL DENSE LDL</t>
  </si>
  <si>
    <t>SWAB PCR COV-19</t>
  </si>
  <si>
    <t>T3 UPTAKE</t>
  </si>
  <si>
    <t>TOTAL LIPID</t>
  </si>
  <si>
    <t>TOXOPLASMA IGG</t>
  </si>
  <si>
    <t>TOXOPLASMA IGG AVIDITAS</t>
  </si>
  <si>
    <t>TOXOPLASMA IGM</t>
  </si>
  <si>
    <t>TSH</t>
  </si>
  <si>
    <t>TSHS NEONATUS</t>
  </si>
  <si>
    <t>UJI CROSS MATCH</t>
  </si>
  <si>
    <t>VDRL KWANTITATIF</t>
  </si>
  <si>
    <t>VISKOSITAS DARAH</t>
  </si>
  <si>
    <t>VITAMIN B.12</t>
  </si>
  <si>
    <t>ACA IgG</t>
  </si>
  <si>
    <t>Rp 1,718,200</t>
  </si>
  <si>
    <t>ACA IgM</t>
  </si>
  <si>
    <t>Rp 1,228,700</t>
  </si>
  <si>
    <t>Rp 1,126,400</t>
  </si>
  <si>
    <t>AMILASE (prodia)</t>
  </si>
  <si>
    <t>Rp 1,413,500</t>
  </si>
  <si>
    <t>Rp 2,130,150</t>
  </si>
  <si>
    <t>Rp 1,023,000</t>
  </si>
  <si>
    <t>Analisa Hb (Elektroforesa/ HPLC)</t>
  </si>
  <si>
    <t>Rp 1,355,200</t>
  </si>
  <si>
    <t>Rp 1,030,150</t>
  </si>
  <si>
    <t>Rp 1,212,750</t>
  </si>
  <si>
    <t>Rp 1,164,350</t>
  </si>
  <si>
    <t>Rp 1,175,350</t>
  </si>
  <si>
    <t>ANTI HBc</t>
  </si>
  <si>
    <t>ANTI HBc IgM</t>
  </si>
  <si>
    <t>Rp 1,549,900</t>
  </si>
  <si>
    <t>Rp 1,577,400</t>
  </si>
  <si>
    <t>ANTI HBs TITER (ELISA )</t>
  </si>
  <si>
    <t>Rp 1,510,850</t>
  </si>
  <si>
    <t>AP-Tes</t>
  </si>
  <si>
    <t>APTT (s)</t>
  </si>
  <si>
    <t>Rp 1,857,350</t>
  </si>
  <si>
    <t>Rp 1,170,400</t>
  </si>
  <si>
    <t>BETA 2 GLIKOPROTEIN (IgG IgM)</t>
  </si>
  <si>
    <t>Rp 2,229,150</t>
  </si>
  <si>
    <t>Rp 1,133,550</t>
  </si>
  <si>
    <t>Rp 1,756,150</t>
  </si>
  <si>
    <t>Rp 1,524,600</t>
  </si>
  <si>
    <t>Rp 1,408,000</t>
  </si>
  <si>
    <t>CADMIUM (Cd)</t>
  </si>
  <si>
    <t>Rp 3,048,100</t>
  </si>
  <si>
    <t>Rp 1,049,950</t>
  </si>
  <si>
    <t>Rp 1,750,650</t>
  </si>
  <si>
    <t>Rp 4,711,300</t>
  </si>
  <si>
    <t>Rp 4,480,300</t>
  </si>
  <si>
    <t>Elektrolit Kalium</t>
  </si>
  <si>
    <t>ELEKTROLIT URIN 24 JAM (NA,K,CL)</t>
  </si>
  <si>
    <t>Rp 1,201,200</t>
  </si>
  <si>
    <t>Rp 1,464,650</t>
  </si>
  <si>
    <t>Rp 1,361,250</t>
  </si>
  <si>
    <t>FREE PSA</t>
  </si>
  <si>
    <t>Rp 2,107,050</t>
  </si>
  <si>
    <t>Rp 2,013,550</t>
  </si>
  <si>
    <t>Rp 1,878,800</t>
  </si>
  <si>
    <t>Rp 1,378,300</t>
  </si>
  <si>
    <t>Rp 1,212,200</t>
  </si>
  <si>
    <t>Rp 1,344,200</t>
  </si>
  <si>
    <t>Rp 1,186,350</t>
  </si>
  <si>
    <t>Hb A2</t>
  </si>
  <si>
    <t>Rp 1,058,200</t>
  </si>
  <si>
    <t>Hb F</t>
  </si>
  <si>
    <t>Hbe Ag</t>
  </si>
  <si>
    <t>Rp 1,002,100</t>
  </si>
  <si>
    <t>HBsAG (ELISA)</t>
  </si>
  <si>
    <t>Rp 5,593,500</t>
  </si>
  <si>
    <t>HELICOBACTER PYLORI IgG</t>
  </si>
  <si>
    <t>Rp 1,546,600</t>
  </si>
  <si>
    <t>HELICOBACTER PYLORI IgM</t>
  </si>
  <si>
    <t>Rp 1,063,150</t>
  </si>
  <si>
    <t>HISTOPATOLOGI GASTER/ COLON /ESOFAGUS 1 botol</t>
  </si>
  <si>
    <t>Rp 1,326,050</t>
  </si>
  <si>
    <t>HISTOPATOLOGI GASTER/ COLON /ESOFAGUS 2 botol</t>
  </si>
  <si>
    <t>Rp 1,486,100</t>
  </si>
  <si>
    <t>HISTOPATOLOGI GASTER/ COLON /ESOFAGUS 3-4 botol</t>
  </si>
  <si>
    <t>Rp 1,828,200</t>
  </si>
  <si>
    <t>Rp 1,555,400</t>
  </si>
  <si>
    <t>Rp 1,951,950</t>
  </si>
  <si>
    <t>Rp 1,257,300</t>
  </si>
  <si>
    <t>Rp 2,627,900</t>
  </si>
  <si>
    <t>Rp 1,576,850</t>
  </si>
  <si>
    <t>Rp 2,030,600</t>
  </si>
  <si>
    <t>HPV (Genaral Type) -PCR</t>
  </si>
  <si>
    <t>Rp 1,684,100</t>
  </si>
  <si>
    <t>Rp 1,145,650</t>
  </si>
  <si>
    <t>HPV Genotype</t>
  </si>
  <si>
    <t>Rp 2,502,500</t>
  </si>
  <si>
    <t>hs-CRP</t>
  </si>
  <si>
    <t>Rp 1,210,000</t>
  </si>
  <si>
    <t>IgE Spesifik Jamur Penicillin</t>
  </si>
  <si>
    <t>Rp 1,108,800</t>
  </si>
  <si>
    <t>Rp 1,216,600</t>
  </si>
  <si>
    <t>Rp 2,024,000</t>
  </si>
  <si>
    <t>Rp 7,275,950</t>
  </si>
  <si>
    <t>Rp 1,154,450</t>
  </si>
  <si>
    <t>Rp 1,238,050</t>
  </si>
  <si>
    <t>LEPTOSPIRA IgM</t>
  </si>
  <si>
    <t>Rp 1,588,400</t>
  </si>
  <si>
    <t>LIPASE (prodia)</t>
  </si>
  <si>
    <t>LIPOPROTEIN (a)</t>
  </si>
  <si>
    <t>Rp 1,085,700</t>
  </si>
  <si>
    <t>MS PROTOMBIN (s)</t>
  </si>
  <si>
    <t>MS. TROMBIN (s)</t>
  </si>
  <si>
    <t>Rp 1,593,900</t>
  </si>
  <si>
    <t>Rp 3,492,500</t>
  </si>
  <si>
    <t>Rp 3,880,800</t>
  </si>
  <si>
    <t>Rp 6,388,250</t>
  </si>
  <si>
    <t>PAP'S SMEAR</t>
  </si>
  <si>
    <t>Rp 1,321,100</t>
  </si>
  <si>
    <t>Rp 1,640,100</t>
  </si>
  <si>
    <t>Rp 2,762,100</t>
  </si>
  <si>
    <t>Rp 1,034,000</t>
  </si>
  <si>
    <t>Rp 1,182,500</t>
  </si>
  <si>
    <t>Rp 1,502,050</t>
  </si>
  <si>
    <t>Rp 1,104,400</t>
  </si>
  <si>
    <t>Rp 1,434,400</t>
  </si>
  <si>
    <t>Rp 1,118,150</t>
  </si>
  <si>
    <t>Rp 1,178,100</t>
  </si>
  <si>
    <t>TPHA KWANTITATIF</t>
  </si>
  <si>
    <t>Rp 1,200,100</t>
  </si>
  <si>
    <t>Vitamin B.12</t>
  </si>
  <si>
    <t>USG MAMMAE H P</t>
  </si>
  <si>
    <t>MRI MAMMAE NON KONTRAS</t>
  </si>
  <si>
    <t>MRI COCHLEA NON KONTRAS</t>
  </si>
  <si>
    <t>MRI MEDIASTINUM + LUNG NON KONTRAS</t>
  </si>
  <si>
    <t>MRI SELLA TURSICA NON KONTRAS</t>
  </si>
  <si>
    <t>MRI PLEXUS BRACHIALIS</t>
  </si>
  <si>
    <t>MRI HIPOFISE KONTRAS</t>
  </si>
  <si>
    <t>MRI COCHLEA KONTRAS</t>
  </si>
  <si>
    <t>MRI MEDIASTINUM + LUNG KONTRAS</t>
  </si>
  <si>
    <t>MRI SELLA TURSICA KONTRAS</t>
  </si>
  <si>
    <t>Colonoscopy + Biopsi</t>
  </si>
  <si>
    <t>Gastroscopy + Biopsi</t>
  </si>
  <si>
    <t>Ligasi</t>
  </si>
  <si>
    <t>Polipektomi</t>
  </si>
  <si>
    <t>PEMAKAIAN KAMAR &amp; ALAT ENDOSCOPY COLONOSCOPY</t>
  </si>
  <si>
    <t>PEMAKAIAN KAMAR &amp; ALAT ENDOSCOPY GASTROSCOPY</t>
  </si>
  <si>
    <t>PEMAKAIAN KAMAR CATHLAB</t>
  </si>
  <si>
    <t>DSA</t>
  </si>
  <si>
    <t>Kateterisasi Jantung Via Radial</t>
  </si>
  <si>
    <t>KONSULTASI</t>
  </si>
  <si>
    <t>AHLI GIZI</t>
  </si>
  <si>
    <t>• 1 Tempat Tidur
• 1 Kursi
• 1 TV LED 55”
• 1 Sidebed Nakas</t>
  </si>
  <si>
    <t>PEMAKAIAN RUANGAN IGD ( &gt; 6 JAM)</t>
  </si>
  <si>
    <t>TUMBUH KEMBANG</t>
  </si>
  <si>
    <t>LAKTASI</t>
  </si>
  <si>
    <t>7.3.8. Golongan Tindakan Operasi Bedah Saraf</t>
  </si>
  <si>
    <t>Cutaneus / Muscle Biopsy</t>
  </si>
  <si>
    <t>Liqour Cerebrospinal Punction</t>
  </si>
  <si>
    <t>Cervical Traction</t>
  </si>
  <si>
    <t>Occipital Nerve Block</t>
  </si>
  <si>
    <t>Surface Tumor Extirpation</t>
  </si>
  <si>
    <t>Trigger finger release</t>
  </si>
  <si>
    <t>Periferal nerve decrompression / CTS release</t>
  </si>
  <si>
    <t>Lumbar epidural steroid injection / Transforaminal / Caudal / Facet Block</t>
  </si>
  <si>
    <t>Lumbal Drainage</t>
  </si>
  <si>
    <t>USG Guided Facet Block</t>
  </si>
  <si>
    <t>Epidural Steroid Injection</t>
  </si>
  <si>
    <t>Surgical site infection debriment</t>
  </si>
  <si>
    <t>Plexus Lumbosacral</t>
  </si>
  <si>
    <t>Soractic Nerve Injection (Simple Diagnostic DSA)</t>
  </si>
  <si>
    <t>Primary Hecting</t>
  </si>
  <si>
    <t>Skull Debriment</t>
  </si>
  <si>
    <t>Skull Tumor Excision</t>
  </si>
  <si>
    <t>RF Neuroablation Lumbal</t>
  </si>
  <si>
    <t>USG Guided Geniculate Ganglion RD Neuroablation</t>
  </si>
  <si>
    <t>External Ventricle Drainage</t>
  </si>
  <si>
    <t>Cranioplasty</t>
  </si>
  <si>
    <t>Simple epidural hematome / simple carinotomy</t>
  </si>
  <si>
    <t>Burrhole drainage chronic subdural hematome</t>
  </si>
  <si>
    <t>Radio Frekuensi</t>
  </si>
  <si>
    <t>Thoracal &amp; Lumbar CSF leakage</t>
  </si>
  <si>
    <t>Screw Removal</t>
  </si>
  <si>
    <t>Neurolysis ablation (Complex Diagnostic DSA + compression test + balloon test occlusion)</t>
  </si>
  <si>
    <t>Khusus II</t>
  </si>
  <si>
    <t>Khusus I</t>
  </si>
  <si>
    <t>Khusus III</t>
  </si>
  <si>
    <t>RF Neuroablation cervical / thoracal / cranial (trigeminal neuralgia)</t>
  </si>
  <si>
    <t>DRG RF Neuroablation</t>
  </si>
  <si>
    <t>PLDD (Percutaneus Laser Disc Decompression)</t>
  </si>
  <si>
    <t>Cervical epidural steroid injection</t>
  </si>
  <si>
    <t>Kyphoplasty</t>
  </si>
  <si>
    <t>Spinal Cord Stimulation</t>
  </si>
  <si>
    <t>Extra dural spinal tumor</t>
  </si>
  <si>
    <t>Sympatectomy</t>
  </si>
  <si>
    <t>Complex Epidural / Subdural hematoma</t>
  </si>
  <si>
    <t>Decompression Craniectomy</t>
  </si>
  <si>
    <t>Ventriculoperitoneal Shunting</t>
  </si>
  <si>
    <t>Endoscopic third ventriculostomy</t>
  </si>
  <si>
    <t>Cranio-fascial reconstruction</t>
  </si>
  <si>
    <t>Anterior meningoencephalocele reconstruction</t>
  </si>
  <si>
    <t>DSA Diagnostic Complex</t>
  </si>
  <si>
    <t>Hydrosection</t>
  </si>
  <si>
    <t>SNRB (Selective Nerve Root Block Injection)</t>
  </si>
  <si>
    <t>TESI</t>
  </si>
  <si>
    <t>Micro Lumbar Decompression</t>
  </si>
  <si>
    <t>Posterior Lumbar &amp; Thoracal Spine decompression &amp; Stabilization 1-2 level</t>
  </si>
  <si>
    <t>7.2.2. JASA OPERATOR (SPESIALIS BEDAH SARAF)</t>
  </si>
  <si>
    <t>7.2.3. JASA OPERATOR ( SPESIALIS GIGI MULUT)</t>
  </si>
  <si>
    <t>7.2.4. JASA TINDAKAN KANDUNGAN</t>
  </si>
  <si>
    <t>7.2.6. JASA OPERATOR ENDOSCOPY</t>
  </si>
  <si>
    <t>Operasi Khusus I</t>
  </si>
  <si>
    <t>Operasi Khusus II</t>
  </si>
  <si>
    <t>Operasi Khusus III</t>
  </si>
  <si>
    <t>Anterior Cervical decompression &amp; Stabilization 1 level (ACDF &amp; ACCF)</t>
  </si>
  <si>
    <t>Intra Cerebral hemorrahage craniotomy</t>
  </si>
  <si>
    <t>Meningioma Convexity</t>
  </si>
  <si>
    <t>Glioma cortical &amp; subcortical</t>
  </si>
  <si>
    <t>Surface venous angioma excision</t>
  </si>
  <si>
    <t>Posterior Meningoencephalocel Reconstruction</t>
  </si>
  <si>
    <t>Ventriculoatrial Shunt (VA Shunt)</t>
  </si>
  <si>
    <t>EDAMS</t>
  </si>
  <si>
    <t>DSA Stent Astired Coiling</t>
  </si>
  <si>
    <t>Simple foramen magnum decompression</t>
  </si>
  <si>
    <t>Lumbar Endoscopy Rizotomy</t>
  </si>
  <si>
    <t>PELD (Pertacutaneus Endoscopy Lumbar Decompression)</t>
  </si>
  <si>
    <t>Intradural Intramedular Spinal Tumor</t>
  </si>
  <si>
    <t>Intradural Extramedular spinal tumor</t>
  </si>
  <si>
    <t>Posterior lumbar &amp; thoracal spine decompression &amp; stabilization &gt; 2 level</t>
  </si>
  <si>
    <t>Extreme Lateral Interbody Fussion (XLIF)</t>
  </si>
  <si>
    <t>Anterior Lumbal Interbody Fussion (ALIF)</t>
  </si>
  <si>
    <t>Far lateral microdisectomy</t>
  </si>
  <si>
    <t>Anterior cervical decompression &amp; Stabilization &gt; 1 Level (ACDF &amp; ACCF)</t>
  </si>
  <si>
    <t>Posterior cervical decompression &amp; stabilization</t>
  </si>
  <si>
    <t>Atlanto Occipital Fussion</t>
  </si>
  <si>
    <t>Complex Foramen Magnum Decompression (with tonsil excision)</t>
  </si>
  <si>
    <t>Cranio-cervical junction tumor</t>
  </si>
  <si>
    <t>Periferal nerve decompression, transplantation graft</t>
  </si>
  <si>
    <t>Skull base tumor</t>
  </si>
  <si>
    <t>Trans nasal endoscopic hypophysectomy</t>
  </si>
  <si>
    <t>Meningioma Complex</t>
  </si>
  <si>
    <t>Metastatic brain tumor</t>
  </si>
  <si>
    <t>Diffuse Astrocytoma</t>
  </si>
  <si>
    <t>Deep seated tumor</t>
  </si>
  <si>
    <t>Intraventricle tumor</t>
  </si>
  <si>
    <t>Brain stem glioma</t>
  </si>
  <si>
    <t>Brain stem angioma</t>
  </si>
  <si>
    <t>Deep seated venous angioma excision</t>
  </si>
  <si>
    <t>Optic nerve decompression</t>
  </si>
  <si>
    <t>Cerebral aneurysm neck clip</t>
  </si>
  <si>
    <t>Cerebral AVM / AVF resection / Closure</t>
  </si>
  <si>
    <t>Spinal AVM / AVF resection / Closure</t>
  </si>
  <si>
    <t>Carotid endarterectomy</t>
  </si>
  <si>
    <t>Vascular bypass / anostomosis</t>
  </si>
  <si>
    <t>Lesioning</t>
  </si>
  <si>
    <t>Stereotactic Biopsy</t>
  </si>
  <si>
    <t>Release tethered cord</t>
  </si>
  <si>
    <t>Reconstruction and close defect</t>
  </si>
  <si>
    <t>Epilepsy Surgery</t>
  </si>
  <si>
    <t>DBS</t>
  </si>
  <si>
    <t>DSA pro flow diverter</t>
  </si>
  <si>
    <t>KELAS VIP/VVIP/
RUANG KHUSUS</t>
  </si>
  <si>
    <t>KELAS VVIP</t>
  </si>
  <si>
    <t>KELAS JR SUITE</t>
  </si>
  <si>
    <t>Coiling</t>
  </si>
  <si>
    <t>DSA + Coiling</t>
  </si>
  <si>
    <t>Kateterisasi Jantung + PCI</t>
  </si>
  <si>
    <t>BNO &amp; IVP</t>
  </si>
  <si>
    <t>BONE SURVEY</t>
  </si>
  <si>
    <t>CHEPALOMETRI</t>
  </si>
  <si>
    <t>LONG LEG</t>
  </si>
  <si>
    <t>LONG SPINE</t>
  </si>
  <si>
    <t>WHOLE SPINE BANDING KANAN &amp; KIRI</t>
  </si>
  <si>
    <t>MSCT 3D WAJAH</t>
  </si>
  <si>
    <t>MSCT ANGIOCORONER + CA SCORE</t>
  </si>
  <si>
    <t>MSCT CA SCORE</t>
  </si>
  <si>
    <t>MSCT CARDIAC (ANGIOCORONER)</t>
  </si>
  <si>
    <t>MSCT CRANIUM / KEPALA 3D</t>
  </si>
  <si>
    <t>MSCT CTA AORTA ABDOMINAL</t>
  </si>
  <si>
    <t>MSCT CTA AORTA THORACAL</t>
  </si>
  <si>
    <t>MSCT CTA EKSTREMITAS ATAS</t>
  </si>
  <si>
    <t>MSCT CTA EKSTREMITAS BAWAH</t>
  </si>
  <si>
    <t>MSCT CTA INTRACRANIAL</t>
  </si>
  <si>
    <t>MSCT EXTREMITAS ATAS DENGAN KONTRAS</t>
  </si>
  <si>
    <t>MSCT EXTREMITAS ATAS TANPA KONTRAS</t>
  </si>
  <si>
    <t>MSCT EXTREMITAS BAWAH DENGAN KONTRAS</t>
  </si>
  <si>
    <t>MSCT EXTREMITAS BAWAH TANPA KONTRAS</t>
  </si>
  <si>
    <t>MSCT EXTREMITAS DENGAN KONTRAS</t>
  </si>
  <si>
    <t>MSCT LARYNX DENGAN KONTRAS</t>
  </si>
  <si>
    <t>MSCT LARYNX TANPA KONTRAS</t>
  </si>
  <si>
    <t>MSCT MANDIBULLA NON KONTRAS</t>
  </si>
  <si>
    <t>MSCT MAXILLA / MANDIBULLA 3D</t>
  </si>
  <si>
    <t>MSCT MAXILLA / MANDIBULLA KONTRAS</t>
  </si>
  <si>
    <t>MSCT NASOFARING/LEHER/LARING DENGAN KONTRAS</t>
  </si>
  <si>
    <t>MSCT NASOFARING/LEHER/LARING TANPA KONTRAS</t>
  </si>
  <si>
    <t>MSCT ORBITA 3D</t>
  </si>
  <si>
    <t>MSCT ORBITA DENGAN KONTRAS</t>
  </si>
  <si>
    <t>MSCT ORBITA TANPA KONTRAS</t>
  </si>
  <si>
    <t>MSCT SINUS PARANASAL DENGAN KONTRAS</t>
  </si>
  <si>
    <t>MSCT SINUS PARANASAL TANPA KONTRAS</t>
  </si>
  <si>
    <t>MSCT THORAX 3 DIMENSI</t>
  </si>
  <si>
    <t>MSCT THORAX DENGAN KONTRAS</t>
  </si>
  <si>
    <t>MSCT THORAX TANPA KONTRAS</t>
  </si>
  <si>
    <t>MSCT THYROID DENGAN KONTRAS</t>
  </si>
  <si>
    <t>MSCT UROGRAPHY DENGAN KONTRAS</t>
  </si>
  <si>
    <t>MSCT UROGRAPHY TANPA KONTRAS</t>
  </si>
  <si>
    <t>MSCT VERTEBRA CERVICAL 3D</t>
  </si>
  <si>
    <t>MSCT VERTEBRA CERVICAL KONTRAS</t>
  </si>
  <si>
    <t>MSCT VERTEBRA CERVICAL NON KONTRAS</t>
  </si>
  <si>
    <t>MSCT VERTEBRA LUMBAL 3D</t>
  </si>
  <si>
    <t>MSCT VERTEBRA LUMBAL KONTRAS</t>
  </si>
  <si>
    <t>MSCT VERTEBRA LUMBAL NON KONTRAS</t>
  </si>
  <si>
    <t>MSCT VERTEBRA LUMBOSACRAL 3D</t>
  </si>
  <si>
    <t>MSCT VERTEBRA LUMBOSACRAL KONTRAS</t>
  </si>
  <si>
    <t>MSCT VERTEBRA LUMBOSACRAL NON KONTRAS</t>
  </si>
  <si>
    <t>MSCT VERTEBRA THORACAL 3D</t>
  </si>
  <si>
    <t>MSCT VERTEBRA THORACAL KONTRAS</t>
  </si>
  <si>
    <t>MSCT VERTEBRA THORACAL NON KONTRAS</t>
  </si>
  <si>
    <t>MSCT VERTEBRA THORACOLUMBAL 3D</t>
  </si>
  <si>
    <t>MSCT VERTEBRA THORACOLUMBAL KONTRAS</t>
  </si>
  <si>
    <t>MSCT VERTEBRA THORACOLUMBAL NON KONTRAS</t>
  </si>
  <si>
    <t>MSCT WHOLE ABDOMEN DENGAN KONTRAS</t>
  </si>
  <si>
    <t>MSCT WHOLE ABDOMEN TANPA KONTRAS</t>
  </si>
  <si>
    <t>USG DOPPLER ARTERI CAROTIS</t>
  </si>
  <si>
    <t>USG DOPPLER ARTERI EXTREMITAS INFERIOR DUA SISI</t>
  </si>
  <si>
    <t>USG DOPPLER ARTERI EXTREMITAS INFERIOR SATU SISI</t>
  </si>
  <si>
    <t>USG DOPPLER ARTERI EXTREMITAS SUPERIOR DUA SISI</t>
  </si>
  <si>
    <t>USG DOPPLER ARTERI EXTREMITAS SUPERIOR SATU SISI</t>
  </si>
  <si>
    <t>USG DOPPLER TESTIS</t>
  </si>
  <si>
    <t>USG DOPPLER VENA EXTREMITAS INFERIOR DUA SISI</t>
  </si>
  <si>
    <t>USG DOPPLER VENA EXTREMITAS INFERIOR SATU SISI</t>
  </si>
  <si>
    <t>USG DOPPLER VENA EXTREMITAS SUPERIOR DUA SISI</t>
  </si>
  <si>
    <t>USG DOPPLER VENA EXTREMITAS SUPERIOR SATU SISI</t>
  </si>
  <si>
    <t>USG MUSCULOSCELETAL</t>
  </si>
  <si>
    <t>USG TRACTUS URINARY</t>
  </si>
  <si>
    <t>MR FISTULOGRAPHY</t>
  </si>
  <si>
    <t>MR MYELOGRAPHY</t>
  </si>
  <si>
    <t>MR SPECTROSCOPI</t>
  </si>
  <si>
    <t>MR UROGRAPHY</t>
  </si>
  <si>
    <t>MRA + MRV KEPALA</t>
  </si>
  <si>
    <t>MRA + MRV KEPALA - LEHER</t>
  </si>
  <si>
    <t>MRA AORTA THORACALIS</t>
  </si>
  <si>
    <t>MRA ARTERI RENALIS</t>
  </si>
  <si>
    <t>MRA KEPALA</t>
  </si>
  <si>
    <t>MRA LEHER</t>
  </si>
  <si>
    <t>MRI + MRA KEPALA - LEHER</t>
  </si>
  <si>
    <t>MRI ABDOMEN ATAS</t>
  </si>
  <si>
    <t>MRI ABDOMEN BAWAH</t>
  </si>
  <si>
    <t>MRI ANKLE DEXTRA</t>
  </si>
  <si>
    <t>MRI ANKLE DEXTRA + SINISTRA</t>
  </si>
  <si>
    <t>MRI ANKLE SINISTRA</t>
  </si>
  <si>
    <t>MRI ANTEBRACHI DEXTRA</t>
  </si>
  <si>
    <t>MRI ANTEBRACHI DEXTRA + SINISTRA</t>
  </si>
  <si>
    <t>MRI ANTEBRACHI SINISTRA</t>
  </si>
  <si>
    <t>MRI AORTA ABDOMINALIS</t>
  </si>
  <si>
    <t>MRI AORTA THORACALIS - ABDOMINALIS</t>
  </si>
  <si>
    <t>MRI COCLEA</t>
  </si>
  <si>
    <t>MRI CRURIS DEXTRA</t>
  </si>
  <si>
    <t>MRI CRURIS DEXTRA + SINISTRA</t>
  </si>
  <si>
    <t>MRI CRURIS SINISTRA</t>
  </si>
  <si>
    <t>MRI ELBOW JOINT DEXTRA</t>
  </si>
  <si>
    <t>MRI ELBOW JOINT DEXTRA + SINISTRA</t>
  </si>
  <si>
    <t>MRI ELBOW JOINT SINISTRA</t>
  </si>
  <si>
    <t>MRI FEMUR DEXTRA</t>
  </si>
  <si>
    <t>MRI FEMUR DEXTRA + SINISTRA</t>
  </si>
  <si>
    <t>MRI FEMUR SINISTRA</t>
  </si>
  <si>
    <t>MRI FUNCTIONAL KEPALA (PUSAT MOTORIK)</t>
  </si>
  <si>
    <t>MRI HIP JOINT</t>
  </si>
  <si>
    <t>MRI HIPOCAMPUS</t>
  </si>
  <si>
    <t>MRI HIPOFISE</t>
  </si>
  <si>
    <t>MRI HUMERUS DEXTRA</t>
  </si>
  <si>
    <t>MRI HUMERUS DEXTRA + SINISTRA</t>
  </si>
  <si>
    <t>MRI HUMERUS SINISTRA</t>
  </si>
  <si>
    <t>MRI KEPALA</t>
  </si>
  <si>
    <t>MRI KEPALA + LEHER</t>
  </si>
  <si>
    <t>MRI KEPALA + MRA</t>
  </si>
  <si>
    <t>MRI KEPALA + MRA + MRV</t>
  </si>
  <si>
    <t>MRI KEPALA + MRA + MRV + DIFFUSION</t>
  </si>
  <si>
    <t>MRI KEPALA + MRA + MRV + MRA CAROTIS</t>
  </si>
  <si>
    <t>MRI KEPALA + MRA + MRV + SPECTROSCOPY</t>
  </si>
  <si>
    <t>MRI KEPALA + MRA + MRV + SWI POLOS</t>
  </si>
  <si>
    <t>MRI KEPALA + MRA + SPECTROSCOPY</t>
  </si>
  <si>
    <t>MRI KEPALA + SPECTROSCOPY</t>
  </si>
  <si>
    <t>MRI KEPALA KONTRAS + MRA + MRV + SPECTROSCOPY</t>
  </si>
  <si>
    <t>MRI KEPALA STROKE + MRA</t>
  </si>
  <si>
    <t>MRI KNEE JOINT DEXTRA</t>
  </si>
  <si>
    <t>MRI KNEE JOINT DEXTRA + SINISTRA</t>
  </si>
  <si>
    <t>MRI KNEE JOINT SINISTRA</t>
  </si>
  <si>
    <t>MRI LIDAH</t>
  </si>
  <si>
    <t>MRI MANUS DEXTRA</t>
  </si>
  <si>
    <t>MRI MANUS DEXTRA + SINISTRA</t>
  </si>
  <si>
    <t>MRI MANUS SINISTRA</t>
  </si>
  <si>
    <t>MRI MASTOID</t>
  </si>
  <si>
    <t>MRI NASOFARING</t>
  </si>
  <si>
    <t>MRI ORBITA</t>
  </si>
  <si>
    <t>MRI ORBITA KONTRAS</t>
  </si>
  <si>
    <t>MRI OROPHARING - LARING</t>
  </si>
  <si>
    <t>MRI PEDIS DEXTRA</t>
  </si>
  <si>
    <t>MRI PEDIS DEXTRA + SINISTRA</t>
  </si>
  <si>
    <t>MRI PEDIS SINISTRA</t>
  </si>
  <si>
    <t>MRI PELVIS</t>
  </si>
  <si>
    <t>MRI PROSTAT</t>
  </si>
  <si>
    <t>MRI SACROILLIAC JOINT</t>
  </si>
  <si>
    <t>MRI SHOULDER JOINT DEXTRA</t>
  </si>
  <si>
    <t>MRI SHOULDER JOINT DEXTRA + SINISTRA</t>
  </si>
  <si>
    <t>MRI SHOULDER JOINT SINISTRA</t>
  </si>
  <si>
    <t>MRI SINUS PARANASAL</t>
  </si>
  <si>
    <t>MRI SOFT TISSUE LEHER</t>
  </si>
  <si>
    <t>MRI SPINE CERVICAL</t>
  </si>
  <si>
    <t>MRI SPINE CERVICOTHORACALIS</t>
  </si>
  <si>
    <t>MRI SPINE LUMBAL</t>
  </si>
  <si>
    <t>MRI SPINE LUMBOSACRAL</t>
  </si>
  <si>
    <t>MRI SPINE SACROCOCCYGIS</t>
  </si>
  <si>
    <t>MRI SPINE THORACAL</t>
  </si>
  <si>
    <t>MRI SPINE THORACOLUMBAL</t>
  </si>
  <si>
    <t>MRI THORACAL + LUMBAL</t>
  </si>
  <si>
    <t>MRI THYROID</t>
  </si>
  <si>
    <t>MRI TMJ (TEMPORO MANDIBULLAR JOINT)</t>
  </si>
  <si>
    <t>MRI TRIGEMINAL</t>
  </si>
  <si>
    <t>MRI WHOLE BODY</t>
  </si>
  <si>
    <t>MRI WHOLE SPINE</t>
  </si>
  <si>
    <t>MRI WRIST JOINT DEXTRA</t>
  </si>
  <si>
    <t>MRI WRIST JOINT DEXTRA + SINISTRA</t>
  </si>
  <si>
    <t>MRI WRIST JOINT SINISTRA</t>
  </si>
  <si>
    <t>MRV KEPALA</t>
  </si>
  <si>
    <t>MR UROGRAPHY KONTRAS</t>
  </si>
  <si>
    <t>MRA + MRV ABDOMINAL KONTRAS</t>
  </si>
  <si>
    <t>MRA AORTA ABDOMINALIS KONTRAS</t>
  </si>
  <si>
    <t>MRA AORTA THORACALIS - ABDOMINALIS KONTRAS</t>
  </si>
  <si>
    <t>MRA AORTA THORACALIS KONTRAS</t>
  </si>
  <si>
    <t>MRA ARTERI RENALIS KONTRAS</t>
  </si>
  <si>
    <t>MRCP KONTRAS</t>
  </si>
  <si>
    <t>MRI + MRA KEPALA - LEHER KONTRAS</t>
  </si>
  <si>
    <t>MRI ABDOMEN ATAS KONTRAS</t>
  </si>
  <si>
    <t>MRI ABDOMEN BAWAH KONTRAS</t>
  </si>
  <si>
    <t>MRI ANKLE DEXTRA + SINISTRA KONTRAS</t>
  </si>
  <si>
    <t>MRI ANKLE DEXTRA KONTRAS</t>
  </si>
  <si>
    <t>MRI ANKLE SINISTRA KONTRAS</t>
  </si>
  <si>
    <t>MRI ANTEBRACHI DEXTRA + SINISTRA KONTRAS</t>
  </si>
  <si>
    <t>MRI ANTEBRACHI DEXTRA KONTRAS</t>
  </si>
  <si>
    <t>MRI ANTEBRACHI SINISTRA KONTRAS</t>
  </si>
  <si>
    <t>MRI CRURIS DEXTRA + SINISTRA KONTRAS</t>
  </si>
  <si>
    <t>MRI CRURIS DEXTRA KONTRAS</t>
  </si>
  <si>
    <t>MRI CRURIS SINISTRA KONTRAS</t>
  </si>
  <si>
    <t>MRI ELBOW JOINT DEXTRA + SINISTRA KONTRAS</t>
  </si>
  <si>
    <t>MRI ELBOW JOINT DEXTRA KONTRAS</t>
  </si>
  <si>
    <t>MRI ELBOW JOINT SINISTRA KONTRAS</t>
  </si>
  <si>
    <t>MRI FEMUR DEXTRA + SINISTRA KONTRAS</t>
  </si>
  <si>
    <t>MRI FEMUR DEXTRA KONTRAS</t>
  </si>
  <si>
    <t>MRI FEMUR SINISTRA KONTRAS</t>
  </si>
  <si>
    <t>MRI FISTULA KONTRAS</t>
  </si>
  <si>
    <t>MRI HIP JOINT KONTRAS</t>
  </si>
  <si>
    <t>MRI HUMERUS DEXTRA + SINISTRA KONTRAS</t>
  </si>
  <si>
    <t>MRI HUMERUS DEXTRA KONTRAS</t>
  </si>
  <si>
    <t>MRI HUMERUS SINISTRA KONTRAS</t>
  </si>
  <si>
    <t>MRI I.A.C (INTERNAL AUDITORY CANAL) KONTRAS</t>
  </si>
  <si>
    <t>MRI KEPALA (ARTERI + VENA) KONTRAS</t>
  </si>
  <si>
    <t>MRI KEPALA + MRA + MRV + MRA CAROTIS KONTRAS</t>
  </si>
  <si>
    <t>MRI KEPALA + MRA + MRV KONTRAS</t>
  </si>
  <si>
    <t>MRI KEPALA + MRA + SPECTROSCOPY KONTRAS</t>
  </si>
  <si>
    <t>MRI KEPALA + MRA KONTRAS</t>
  </si>
  <si>
    <t>MRI KEPALA + MRV KONTRAS</t>
  </si>
  <si>
    <t>MRI KEPALA + SPECTROSCOPY KONTRAS</t>
  </si>
  <si>
    <t>MRI KEPALA KONTRAS</t>
  </si>
  <si>
    <t>MRI KNEE JOINT DEXTRA + SINISTRA KONTRAS</t>
  </si>
  <si>
    <t>MRI KNEE JOINT DEXTRA KONTRAS</t>
  </si>
  <si>
    <t>MRI KNEE JOINT SINISTRA KONTRAS</t>
  </si>
  <si>
    <t>MRI LIDAH KONTRAS</t>
  </si>
  <si>
    <t>MRI MAMMAE KONTRAS</t>
  </si>
  <si>
    <t>MRI MANUS DEXTRA + SINISTRA KONTRAS</t>
  </si>
  <si>
    <t>MRI MANUS DEXTRA KONTRAS</t>
  </si>
  <si>
    <t>MRI MANUS SINISTRA KONTRAS</t>
  </si>
  <si>
    <t>MRI MASTOID KONTRAS</t>
  </si>
  <si>
    <t>MRI NASOFARING KONTRAS</t>
  </si>
  <si>
    <t>MRI OROPHARING + LARING KONTRAS</t>
  </si>
  <si>
    <t>MRI PEDIS DEXTRA + SINISTRA KONTRAS</t>
  </si>
  <si>
    <t>MRI PEDIS DEXTRA KONTRAS</t>
  </si>
  <si>
    <t>MRI PEDIS SINISTRA KONTRAS</t>
  </si>
  <si>
    <t>MRI PELVIS KONTRAS</t>
  </si>
  <si>
    <t>MRI PROSTAT KONTRAS</t>
  </si>
  <si>
    <t>MRI SACROILLIAC JOINT KONTRAS</t>
  </si>
  <si>
    <t>MRI SHOULDER JOINT DEXTRA + SINISTRA KONTRAS</t>
  </si>
  <si>
    <t>MRI SHOULDER JOINT DEXTRA KONTRAS</t>
  </si>
  <si>
    <t>MRI SHOULDER JOINT SINISTRA KONTRAS</t>
  </si>
  <si>
    <t>MRI SINUS PARANASAL KONTRAS</t>
  </si>
  <si>
    <t>MRI SOFT TISSUE LEHER KONTRAS</t>
  </si>
  <si>
    <t>MRI SPINE CERVICAL KONTRAS</t>
  </si>
  <si>
    <t>MRI SPINE CERVICOTHORACALIS KONTRAS</t>
  </si>
  <si>
    <t>MRI SPINE LUMBAL KONTRAS</t>
  </si>
  <si>
    <t>MRI SPINE LUMBOSACRAL KONTRAS</t>
  </si>
  <si>
    <t>MRI SPINE SACROCOCCYGIS KONTRAS</t>
  </si>
  <si>
    <t>MRI SPINE THORACAL KONTRAS</t>
  </si>
  <si>
    <t>MRI SPINE THORACOLUMBAL KONTRAS</t>
  </si>
  <si>
    <t>MRI TESTIS KONTRAS</t>
  </si>
  <si>
    <t>MRI THYROID KONTRAS</t>
  </si>
  <si>
    <t>MRI VENOGRAFI KEPALA KONTRAS</t>
  </si>
  <si>
    <t>MRI WHOLE ABDOMEN KONTRAS</t>
  </si>
  <si>
    <t>MRI WHOLE BODY KONTRAS</t>
  </si>
  <si>
    <t>MRI WHOLE SPINE KONTRAS</t>
  </si>
  <si>
    <t>MRI WRIST JOINT DEXTRA + SINISTRA KONTRAS</t>
  </si>
  <si>
    <t>MRI WRIST JOINT DEXTRA KONTRAS</t>
  </si>
  <si>
    <t>MRI WRIST JOINT SINISTRA KONTRAS</t>
  </si>
  <si>
    <t>MRV ABDOMINAL KONTRAS</t>
  </si>
  <si>
    <t>AMYLASE PANCREATIC</t>
  </si>
  <si>
    <t>ANALISA BMP (BONE MARROW PUNCTURE)</t>
  </si>
  <si>
    <t>ANALISA HB (ELEKTROFORESA/HPLC)</t>
  </si>
  <si>
    <t>ANTI CCP</t>
  </si>
  <si>
    <t xml:space="preserve">ANTI HBS TITER </t>
  </si>
  <si>
    <t>ANTI-CHIKUNGUNYA IGM</t>
  </si>
  <si>
    <t>ANTIGEN MALARIA</t>
  </si>
  <si>
    <t>ANTIGEN RAPID TEST PANEL FLU A&amp;B/SARCOV2</t>
  </si>
  <si>
    <t>BETA-2 MICROGLOBULIN</t>
  </si>
  <si>
    <t>BETA-HCG SERUM</t>
  </si>
  <si>
    <t>BILE ACID (ASAM EMPEDU)</t>
  </si>
  <si>
    <t>BUN</t>
  </si>
  <si>
    <t>C-3 COMPLEMEN</t>
  </si>
  <si>
    <t>C-4 COMPLEMEN</t>
  </si>
  <si>
    <t>CORTISOL FREE SERUM</t>
  </si>
  <si>
    <t>CORTISOL SERUM PAGI</t>
  </si>
  <si>
    <t>CORTISOL SERUM RANDOM</t>
  </si>
  <si>
    <t>CORTISOL SERUM SORE</t>
  </si>
  <si>
    <t>DARAH SAMAR</t>
  </si>
  <si>
    <t>DNA Fragmentasi Sperma</t>
  </si>
  <si>
    <t>EBV-EBNA IGA (NASOPHARYNG)</t>
  </si>
  <si>
    <t>EBV-IgA PCR (NASOFHARING)</t>
  </si>
  <si>
    <t>ELEKTROLIT URIN 24 JAM (NA_K_CL)</t>
  </si>
  <si>
    <t>ESTRIOL</t>
  </si>
  <si>
    <t>FRUKTOSAMIN</t>
  </si>
  <si>
    <t>HPV DNA GENOTYPE</t>
  </si>
  <si>
    <t>HPV DNA GENOTYPING + LBC</t>
  </si>
  <si>
    <t>HPV DNA RT</t>
  </si>
  <si>
    <t>HS TROPONIN I</t>
  </si>
  <si>
    <t>IgG &amp; IgM CHIKUNGUNYA (RAPID)</t>
  </si>
  <si>
    <t>INSULIN (PUASA)</t>
  </si>
  <si>
    <t>IPF</t>
  </si>
  <si>
    <t>KULTUR DARAH + RESISTENSI</t>
  </si>
  <si>
    <t>KULTUR RESISTENSI RECTAL SWAB</t>
  </si>
  <si>
    <t>KULTUR SPUTUM + RESISTENSI</t>
  </si>
  <si>
    <t>KULTUR URIN + RESISTENSI</t>
  </si>
  <si>
    <t>Liquid Based Cytology (LBC)</t>
  </si>
  <si>
    <t>LUPUS ANTIKOAGULAN</t>
  </si>
  <si>
    <t>MS. TROMBIN</t>
  </si>
  <si>
    <t xml:space="preserve">NATRIUM URINE 24 JAM </t>
  </si>
  <si>
    <t>NIPT BASIC</t>
  </si>
  <si>
    <t>NIPT PREMIUM</t>
  </si>
  <si>
    <t>NIPT PROCARE</t>
  </si>
  <si>
    <t>NT PRO BNP</t>
  </si>
  <si>
    <t>PAKET ALERGI ATOPY PANEL INDONESIA (20 ALERGEN)</t>
  </si>
  <si>
    <t>PAKET PROTEIN TOTAL (PROTEIN TOTAL_ ALBUMIN_ GLOBULIN)</t>
  </si>
  <si>
    <t>PANEL GASTROINTESTINAL</t>
  </si>
  <si>
    <t>PANEL RESPIRATORY (MULTIPLEX PCR)</t>
  </si>
  <si>
    <t>PENGECATAN BTA 2X</t>
  </si>
  <si>
    <t>PROTEIN URIN KUALITATIF</t>
  </si>
  <si>
    <t>PROTEIN URIN KUANTITATIF</t>
  </si>
  <si>
    <t>SPOTMAS-10</t>
  </si>
  <si>
    <t>TCM</t>
  </si>
  <si>
    <t>TES TOLERANSI GLUKOSA ORAL (TTGO)</t>
  </si>
  <si>
    <t>TROPONIN I</t>
  </si>
  <si>
    <t>TSH NEONATUS</t>
  </si>
  <si>
    <t>UREUM URINE</t>
  </si>
  <si>
    <t>ZINC</t>
  </si>
  <si>
    <t>Ruang Khusus: ICU, ICCU, HCU, NICU, PICU, dan Isolasi</t>
  </si>
  <si>
    <t>ELEKTRICAL STIMULATION (ES)</t>
  </si>
  <si>
    <t>ASPIRASI BURSA</t>
  </si>
  <si>
    <t>ASPIRASI SENDI</t>
  </si>
  <si>
    <t>DRY NEEDLING</t>
  </si>
  <si>
    <t>EVALUASI ALAT BANTU JALAN</t>
  </si>
  <si>
    <t>EVALUASI ORTHOSIS</t>
  </si>
  <si>
    <t>EVALUASI PROSTHESIS</t>
  </si>
  <si>
    <t>EVALUASI SEPATU KOREKSI</t>
  </si>
  <si>
    <t>INJEKSI SARAF PERIFER</t>
  </si>
  <si>
    <t>INJEKSI SUBSTANSI TERAPEUTIK ( SENDI_BURSA_TENDON)</t>
  </si>
  <si>
    <t>SHOCKWAVE THERAPY</t>
  </si>
  <si>
    <t>STIMULASI OROMOTOR</t>
  </si>
  <si>
    <t>TAPPING DAN STRAPPING</t>
  </si>
  <si>
    <t>AFF CVP</t>
  </si>
  <si>
    <t>AFF DRAIN</t>
  </si>
  <si>
    <t>AFF EPIDURAL CONTINUOUS</t>
  </si>
  <si>
    <t>AFF HECTING &lt;5 JAHITAN</t>
  </si>
  <si>
    <t>AFF HECTING &gt;25 JAHITAN</t>
  </si>
  <si>
    <t>AFF HECTING 11-15 JAHITAN</t>
  </si>
  <si>
    <t>AFF HECTING 16-20 JAHITAN</t>
  </si>
  <si>
    <t>AFF HECTING 21 - 25 JAHITAN</t>
  </si>
  <si>
    <t>AFF HECTING 5-10 JAHITAN</t>
  </si>
  <si>
    <t>AFF HECTING KONJUNGTIVA LIMBUS</t>
  </si>
  <si>
    <t>AFF HECTING KORNEA &lt;5</t>
  </si>
  <si>
    <t>AFF HECTING MC. DONALD</t>
  </si>
  <si>
    <t>AFF IMPLANT</t>
  </si>
  <si>
    <t>AFF KLIP (SKIN STAPLER) &lt;5</t>
  </si>
  <si>
    <t>AFF KLIP (SKIN STAPLER) &gt;25</t>
  </si>
  <si>
    <t>AFF KLIP (SKIN STAPLER) 11-15</t>
  </si>
  <si>
    <t>AFF KLIP (SKIN STAPLER) 16-20</t>
  </si>
  <si>
    <t>AFF KLIP (SKIN STAPLER) 5-10</t>
  </si>
  <si>
    <t>AFF TAMPON</t>
  </si>
  <si>
    <t>AFF WIRE</t>
  </si>
  <si>
    <t>AFF. VENA SECTIE</t>
  </si>
  <si>
    <t>AMPUTASI 1 JARI</t>
  </si>
  <si>
    <t>ANEL TEST/SONDASE</t>
  </si>
  <si>
    <t>ANGKAT BENDA ASING HIDUNG</t>
  </si>
  <si>
    <t>ANGKAT BENDA ASING MANUAL (SP)</t>
  </si>
  <si>
    <t>ANGKAT BENDA ASING MATA</t>
  </si>
  <si>
    <t>ANGKAT BENDA ASING TELINGA</t>
  </si>
  <si>
    <t>ANGKAT BENDA ASING TENGGOROKAN</t>
  </si>
  <si>
    <t>ARTERIAL LINE</t>
  </si>
  <si>
    <t>ASPIRASI ABSES</t>
  </si>
  <si>
    <t>ASPIRASI CAIRAN SENDI</t>
  </si>
  <si>
    <t>ASPIRASI HEMATOM CONJUNGTIVA ( BIUS LOKAL)</t>
  </si>
  <si>
    <t>ASPIRASI HEMATOM SUBGALEAL</t>
  </si>
  <si>
    <t>AUTOREFF</t>
  </si>
  <si>
    <t>BACK SLIP (GIPS 1/2)</t>
  </si>
  <si>
    <t>BILAS LAMBUNG (DU)</t>
  </si>
  <si>
    <t>BILAS LAMBUNG (SP)</t>
  </si>
  <si>
    <t>BIOPSI CAIRAN</t>
  </si>
  <si>
    <t>BIOPSI JARINGAN</t>
  </si>
  <si>
    <t>BIOPSI TUMOR KRANIUM</t>
  </si>
  <si>
    <t>BLAST PUNKSI</t>
  </si>
  <si>
    <t>BLEPHAR PLASTY</t>
  </si>
  <si>
    <t>BLOCK SARAF PERIFER</t>
  </si>
  <si>
    <t>BMP (BONE MARROW PUNCTURE)</t>
  </si>
  <si>
    <t>BOOSTER INJEKSI VITAMIN C</t>
  </si>
  <si>
    <t>BUKA GIPS</t>
  </si>
  <si>
    <t>BUKA GIPS HIP SPIKA</t>
  </si>
  <si>
    <t>CABUT CATHETER (DU)</t>
  </si>
  <si>
    <t>CABUT CATHETER (SP)</t>
  </si>
  <si>
    <t>CANALITH REPOTITION TREATMENT</t>
  </si>
  <si>
    <t>CAUISTIC FARING</t>
  </si>
  <si>
    <t>CAUISTIC KONKA</t>
  </si>
  <si>
    <t>COCK UP SPLINT UNTUK TANGAN</t>
  </si>
  <si>
    <t>COLONOSCOPY + ANASTESI</t>
  </si>
  <si>
    <t>COLONOSCOPY + ANASTESI + BIOPSY</t>
  </si>
  <si>
    <t>CORPUS ALIENUM HIDUNG</t>
  </si>
  <si>
    <t>CORPUS ALIENUM MATA</t>
  </si>
  <si>
    <t>CORPUS ALIENUM NON GRAM BANYAK</t>
  </si>
  <si>
    <t>CORPUS ALIENUM NON GRAM SEDANG</t>
  </si>
  <si>
    <t>CORPUS ALIENUM TELINGA</t>
  </si>
  <si>
    <t>CROSS INSISI</t>
  </si>
  <si>
    <t>CYSTOSTOMY RJ</t>
  </si>
  <si>
    <t>DC SHOCK</t>
  </si>
  <si>
    <t>DEBRIDEMENT + ADVANCEMENT FLOP KECIL</t>
  </si>
  <si>
    <t>DEBRIDEMENT BESAR</t>
  </si>
  <si>
    <t>DEBRIDEMENT KECIL</t>
  </si>
  <si>
    <t>DEBRIDEMENT KERATOSIS OBTURANS</t>
  </si>
  <si>
    <t>DEBRIDEMENT SEDANG</t>
  </si>
  <si>
    <t>DILATASI PREPURTIUM</t>
  </si>
  <si>
    <t>DILATASI URETHER (P)</t>
  </si>
  <si>
    <t>DRAINAGE ABSES (DU)</t>
  </si>
  <si>
    <t>DRAINAGE ABSES (SP)</t>
  </si>
  <si>
    <t>E M G LENGKAP</t>
  </si>
  <si>
    <t>E M G SEDERHANA</t>
  </si>
  <si>
    <t>EKPLORASI CORPUS ALIENUM SPESIALIS</t>
  </si>
  <si>
    <t>EKSISI BESAR (DU)</t>
  </si>
  <si>
    <t>EKSISI BESAR (SP)</t>
  </si>
  <si>
    <t>EKSISI JAR.ABNORMAL MARGO PALPEBRA SUP.</t>
  </si>
  <si>
    <t>EKSISI KECIL (DU)</t>
  </si>
  <si>
    <t>EKSISI KECIL (SP)</t>
  </si>
  <si>
    <t>EKSISI KELOID (DU)</t>
  </si>
  <si>
    <t>EKSISI KELOID (SP)</t>
  </si>
  <si>
    <t>EKSISI POLIDACTILING (SATU JARI)</t>
  </si>
  <si>
    <t>EKSISI POLIP</t>
  </si>
  <si>
    <t>EKSISI SEDANG (DU)</t>
  </si>
  <si>
    <t>EKSISI SEDANG (SP)</t>
  </si>
  <si>
    <t>EKSISI VERUKA</t>
  </si>
  <si>
    <t>EKSPLORASI HIDUNG TENGGOROKAN</t>
  </si>
  <si>
    <t>EKSPLORASI LUKA</t>
  </si>
  <si>
    <t>EKSTIRFASI ATHEROMA</t>
  </si>
  <si>
    <t>EKSTIRFASI BESAR</t>
  </si>
  <si>
    <t>EKSTIRFASI CLAVUS (DU)</t>
  </si>
  <si>
    <t>EKSTIRFASI CLAVUS (SP)</t>
  </si>
  <si>
    <t>EKSTIRFASI GANGLION (DU)</t>
  </si>
  <si>
    <t>EKSTIRFASI GANGLION (SP)</t>
  </si>
  <si>
    <t>EKSTIRFASI LIPOMA &gt;7 CM (EKSTIRFASI BESAR) DU</t>
  </si>
  <si>
    <t>EKSTIRFASI LIPOMA &gt;7CM (EKSTIRFASI BESAR) SP</t>
  </si>
  <si>
    <t>EKSTIRFASI LIPOMA 2-4 CM (EKSTIRFASI KECIL) DU</t>
  </si>
  <si>
    <t>EKSTIRFASI LIPOMA 2-4 CM(EKSTIRFASI KECIL) SP</t>
  </si>
  <si>
    <t>EKSTIRFASI LIPOMA 5-7 CM (EKSTIRFASI SEDANG) DU</t>
  </si>
  <si>
    <t>EKSTIRFASI LIPOMA 5-7CM (EKSTIRFASI SEDANG) SP</t>
  </si>
  <si>
    <t>EKSTIRFASI NEURO PIGMENTASI</t>
  </si>
  <si>
    <t>EKSTIRFASI VERUKA VULGARIS</t>
  </si>
  <si>
    <t>EKSTRAKSI CORPUS AL SPOOLING</t>
  </si>
  <si>
    <t>EKSTRAKSI CORPUS ALIENUM GRAM</t>
  </si>
  <si>
    <t>EKSTRAKSI GRANULOMA</t>
  </si>
  <si>
    <t>EKSTRAKSI KRUSTA HIDUNG</t>
  </si>
  <si>
    <t>EKSTRAKSI KUKU (CABUT KUKU KESELURUHAN)</t>
  </si>
  <si>
    <t>EKSTRAKSI LITHIASIS BANYAK</t>
  </si>
  <si>
    <t>EKSTRAKSI LITHIASIS SEDIKIT</t>
  </si>
  <si>
    <t>EKSTRAKSI SERUMEN BESAR</t>
  </si>
  <si>
    <t>EKSTRAKSI SERUMEN SEDANG</t>
  </si>
  <si>
    <t>EKTRAKSI BENDA ASING DI HIDUNG ( SPESIALIS )</t>
  </si>
  <si>
    <t>EKTRAKSI BENDA ASING DI TELINGA ( SPESIALIS )</t>
  </si>
  <si>
    <t>EKTRAKSI BENDA ASING DITENGGOROKAN ( SPESIALIS )</t>
  </si>
  <si>
    <t>EKTRAKSI SERUMEN KECIL</t>
  </si>
  <si>
    <t>ENDOSCOPY HIDUNG</t>
  </si>
  <si>
    <t>ENDOSCOPY PHARYNG</t>
  </si>
  <si>
    <t>ENDOSCOPY TELINGA</t>
  </si>
  <si>
    <t>ENDOSCOPY-EDG+BIOPSI</t>
  </si>
  <si>
    <t>EPILASI &gt; 5 HELAI</t>
  </si>
  <si>
    <t>EPILASI 1-5 HELAI</t>
  </si>
  <si>
    <t>ESWL ( EKSTERNAL )</t>
  </si>
  <si>
    <t>EXCISI HORDEOLUM/CHALAZION</t>
  </si>
  <si>
    <t>EXPLORASI CORPUS ALIENUM DU</t>
  </si>
  <si>
    <t>EXPLORASI CORPUS ALIENUM SP</t>
  </si>
  <si>
    <t>EXTUBASI DU</t>
  </si>
  <si>
    <t>EXTUBASI PADA PROLONGED</t>
  </si>
  <si>
    <t>EXTUBASI SP</t>
  </si>
  <si>
    <t>FEES (FLEXIBLE ENDOSCOPIC EVALUATION OF SWALLOWING )</t>
  </si>
  <si>
    <t>FINE NEEDLE ASPIRATION BIOPSI</t>
  </si>
  <si>
    <t>FLOURESEN TEST</t>
  </si>
  <si>
    <t>FRENEOTOMI</t>
  </si>
  <si>
    <t>FUNDUSCOPI DIRECT</t>
  </si>
  <si>
    <t>FUNDUSCOPI INDIRECT</t>
  </si>
  <si>
    <t>FUNGSI SUBDURAL</t>
  </si>
  <si>
    <t>GRAMEKTOMY</t>
  </si>
  <si>
    <t>GV BESAR + NECROTOMY BESAR</t>
  </si>
  <si>
    <t>GV BESAR + NECROTOMY SEDANG</t>
  </si>
  <si>
    <t>HECTING + DEBRIDEMENT (DU)</t>
  </si>
  <si>
    <t>HECTING + DEBRIDEMENT (SP)</t>
  </si>
  <si>
    <t>HECTING &lt;5 DU</t>
  </si>
  <si>
    <t>HECTING &lt;5 SP</t>
  </si>
  <si>
    <t>HECTING &gt;75 DU</t>
  </si>
  <si>
    <t>HECTING &gt;75 SP</t>
  </si>
  <si>
    <t>HECTING 11-15 JAHITAN DU</t>
  </si>
  <si>
    <t>HECTING 11-15 JAHITAN SP</t>
  </si>
  <si>
    <t>HECTING 16-20 JAHITAN DU</t>
  </si>
  <si>
    <t>HECTING 16-20 JAHITAN SP</t>
  </si>
  <si>
    <t>HECTING 21-25 JAHITAN DU</t>
  </si>
  <si>
    <t>HECTING 21-25 JAHITAN SP</t>
  </si>
  <si>
    <t>HECTING 26-35 JAHITAN DU</t>
  </si>
  <si>
    <t>HECTING 26-35 JAHITAN SP</t>
  </si>
  <si>
    <t>HECTING 36-50 JAHITAN DU</t>
  </si>
  <si>
    <t>HECTING 36-50 JAHITAN SP</t>
  </si>
  <si>
    <t>HECTING 5-10 JAHITAN DU</t>
  </si>
  <si>
    <t>HECTING 5-10 JAHITAN SP</t>
  </si>
  <si>
    <t>HECTING 51-75 JAHITAN DU</t>
  </si>
  <si>
    <t>HECTING 51-75 JAHITAN SP</t>
  </si>
  <si>
    <t>HYPNOTHERAPY (/ JAM)</t>
  </si>
  <si>
    <t>Imun Booster</t>
  </si>
  <si>
    <t>INCISI</t>
  </si>
  <si>
    <t>INCISI + DRAINASE DU</t>
  </si>
  <si>
    <t>INCISI + DRAINASE SP</t>
  </si>
  <si>
    <t>INCISI ABSES DU</t>
  </si>
  <si>
    <t>INCISI ABSES SP</t>
  </si>
  <si>
    <t>INCISI ABSES SUBGALEAL</t>
  </si>
  <si>
    <t>INCISI ABSES TRAKHEA</t>
  </si>
  <si>
    <t>INCISI DRAINASE BESAR</t>
  </si>
  <si>
    <t>INCISI DRAINASE SEDANG</t>
  </si>
  <si>
    <t>INCISI EVAKUASI HEMATOM</t>
  </si>
  <si>
    <t>INCISI HERDEOLUM/CHALAZION</t>
  </si>
  <si>
    <t>INCISI KISTA CONJUNGTIVA SUPERIOR</t>
  </si>
  <si>
    <t>INJEKSI IM/IV/SC/IC</t>
  </si>
  <si>
    <t>INJEKSI INTRA ARTIKULER SP SARAF</t>
  </si>
  <si>
    <t>INJEKSI INTRALIGAMEN</t>
  </si>
  <si>
    <t>INJEKSI KELOID</t>
  </si>
  <si>
    <t>INJEKSI KENAKORT INTRALESI</t>
  </si>
  <si>
    <t>INJEKSI SARAF PERIFER SP SARAF</t>
  </si>
  <si>
    <t>INJEKSI SARAF PERIFER SP SARAF ( PAKET )</t>
  </si>
  <si>
    <t>INJEKSI STEROID INTRA TIMPANI</t>
  </si>
  <si>
    <t>INJEKSI SUB CUTAN (XOLAIR)</t>
  </si>
  <si>
    <t>INJEKSI VARICES 1 TITIK</t>
  </si>
  <si>
    <t>INJEKSI VARICES 2 TITIK</t>
  </si>
  <si>
    <t>INJEKSI VARICES 3 TITIK</t>
  </si>
  <si>
    <t>INJEKSI VARICES 4 TITIK</t>
  </si>
  <si>
    <t>INJEKSI VARICES 5 TITIK</t>
  </si>
  <si>
    <t>INJEKSI VARICES 6 TITIK</t>
  </si>
  <si>
    <t>INSISI KISTA BARTHOLINI</t>
  </si>
  <si>
    <t>INTRA ARTIKULAR INJEKSI</t>
  </si>
  <si>
    <t>INTUBASI DU</t>
  </si>
  <si>
    <t>INTUBASI SP</t>
  </si>
  <si>
    <t>IRIGASI DUCTUS NASO LAKRIMALIS SP</t>
  </si>
  <si>
    <t>IRIGASI HIDUNG</t>
  </si>
  <si>
    <t>IRIGASI MATA ( SPESIALIS )</t>
  </si>
  <si>
    <t>IRIGASI MATA DU</t>
  </si>
  <si>
    <t>IRIGASI SOKET</t>
  </si>
  <si>
    <t>IRIGASI TELINGA (DU)</t>
  </si>
  <si>
    <t>IRIGASI TELINGA SP</t>
  </si>
  <si>
    <t>JASA DOKTER ANAK PARTUS NORMAL DENGAN VAKUM + PENYULIT</t>
  </si>
  <si>
    <t>JASA DOKTER PENDAMPING DI AMBULANCE (DR SPESIALIS)</t>
  </si>
  <si>
    <t>JASA TINDAKAN PAP SMEAR DOKTER</t>
  </si>
  <si>
    <t>KENAKORT INJEKSI</t>
  </si>
  <si>
    <t>KERATEKTOMIE</t>
  </si>
  <si>
    <t>KERATOMETRI</t>
  </si>
  <si>
    <t>KLISMA DU</t>
  </si>
  <si>
    <t>KLISMA SP</t>
  </si>
  <si>
    <t>KUMBAH LAMBUNG DU</t>
  </si>
  <si>
    <t>KUMBAH LANGSUNG SP</t>
  </si>
  <si>
    <t>LARINGOSKOPI INDIREK</t>
  </si>
  <si>
    <t>LARYNGOSCOPY</t>
  </si>
  <si>
    <t>LEPAS WSD + HECTING ULANG</t>
  </si>
  <si>
    <t>LRF</t>
  </si>
  <si>
    <t>LUMBAL PUNCTIE</t>
  </si>
  <si>
    <t>M.C.DONALD ( PENJAHITAN MULUT RAHIM ) ODC</t>
  </si>
  <si>
    <t>MANTOUX TEST</t>
  </si>
  <si>
    <t>MANUAL PLASENTA</t>
  </si>
  <si>
    <t>MIRINGOTOMI/PARACINTESIS</t>
  </si>
  <si>
    <t>NEKROTOMI</t>
  </si>
  <si>
    <t>NEKROTOMI COMBUSTIO</t>
  </si>
  <si>
    <t>NEKROTOMI GANGREN DIABETIK</t>
  </si>
  <si>
    <t>OBSERVASI DI UGD DI BAWAH 6 JAM</t>
  </si>
  <si>
    <t>OBSERVASI DI UGD DIATAS 6 JAM</t>
  </si>
  <si>
    <t>OBSERVASI PLEBOTOMI</t>
  </si>
  <si>
    <t>OVERHECTING</t>
  </si>
  <si>
    <t>PAIN INJEKSI</t>
  </si>
  <si>
    <t>PAKET INSEMINASI</t>
  </si>
  <si>
    <t>Paket Vaksin Combo Pneunomia dan Influenza (Spesialis)</t>
  </si>
  <si>
    <t>Paket Vaksin Combo Pneunomia dan Influenza (Umum)</t>
  </si>
  <si>
    <t>Paket Vaksin Influenza (Spesialis)</t>
  </si>
  <si>
    <t>Paket Vaksin Influenza (Umum)</t>
  </si>
  <si>
    <t>Paket Vaksin Pnemonia (Umum)</t>
  </si>
  <si>
    <t>Paket Vaksin Pneumonia (Spesialis)</t>
  </si>
  <si>
    <t>PAPER PATCH MYRINGOPLASTY</t>
  </si>
  <si>
    <t>PARTUS DENGAN TINDAKAN KHUSUS/PATOLOGIS</t>
  </si>
  <si>
    <t>PARTUS DNG VAKUM EKSTRAKSI</t>
  </si>
  <si>
    <t>PARTUS GEMILI / KEMBAR</t>
  </si>
  <si>
    <t>PARTUS INDUKSI + VACUM EKSTRAKSI</t>
  </si>
  <si>
    <t>PARTUS NORMAL DENGAN DOKTER UMUM</t>
  </si>
  <si>
    <t>PARTUS NORMAL DENGAN SPOG</t>
  </si>
  <si>
    <t>PARTUS NORMAL DENGAN VAKUM + PENYULIT</t>
  </si>
  <si>
    <t>PARTUS NORMAL PAKET SPOG</t>
  </si>
  <si>
    <t>PASANG / ANGKAT IUD</t>
  </si>
  <si>
    <t>PASANG BALON</t>
  </si>
  <si>
    <t>PASANG CVP</t>
  </si>
  <si>
    <t>PASANG DRAIN</t>
  </si>
  <si>
    <t>PASANG GIPS</t>
  </si>
  <si>
    <t>PASANG GIPS DNG REPOSISI</t>
  </si>
  <si>
    <t>PASANG GIPS KECIL</t>
  </si>
  <si>
    <t>PASANG GIPS LENGAN</t>
  </si>
  <si>
    <t>PASANG GIPS TUNGKAI</t>
  </si>
  <si>
    <t>PASANG IMPLAN</t>
  </si>
  <si>
    <t>PASANG KATETER DR SPESIALIS</t>
  </si>
  <si>
    <t>PASANG KATETER DR UMUM</t>
  </si>
  <si>
    <t>PASANG NGT DENGAN PENYULIT</t>
  </si>
  <si>
    <t>PASANG PICC</t>
  </si>
  <si>
    <t>PASANG RING PESARIUM</t>
  </si>
  <si>
    <t>PASANG TLSO CORSET (TRAUMA)</t>
  </si>
  <si>
    <t>PASANG WSD</t>
  </si>
  <si>
    <t>PEMAKAIAN HOLTER 1X24 JAM</t>
  </si>
  <si>
    <t>PEMAKAIAN HOLTER 7X24 JAM</t>
  </si>
  <si>
    <t>PEMERIKSAAN FISIK MCU</t>
  </si>
  <si>
    <t>PEMERIKSAAN FISIK MCU + HAEMOROID-HERNIA</t>
  </si>
  <si>
    <t>PEMERIKSAAN KESEHATAN MATA (ANAK)</t>
  </si>
  <si>
    <t>PEMERIKSAAN KESEHATAN MATA (DEWASA)</t>
  </si>
  <si>
    <t>PEMERIKSAAN PAKET MATA MCU (SPESIALIS MATA)</t>
  </si>
  <si>
    <t>PENDAMPING PASIEN DR.SP. ANESTESI (JABODETABEK)</t>
  </si>
  <si>
    <t>PENGANGKATAN CANDILOMA</t>
  </si>
  <si>
    <t>PERAWATAN PERTAMA LUKA BAKAR &lt;25%</t>
  </si>
  <si>
    <t>PERAWATAN PERTAMA LUKA BAKAR &gt;25%</t>
  </si>
  <si>
    <t>PERINEOPLASTI</t>
  </si>
  <si>
    <t>PERITONEAL DIALISIS</t>
  </si>
  <si>
    <t>PH TEST</t>
  </si>
  <si>
    <t>PHARYNGOSCOPY</t>
  </si>
  <si>
    <t>PTERYGIUM 1 MATA</t>
  </si>
  <si>
    <t>PUNCTIE SUBGALEAL HEMATOMA</t>
  </si>
  <si>
    <t>PUNCTIE VENTRIKEL BAYI</t>
  </si>
  <si>
    <t>PUNKSI + ASPIRASI ABSES</t>
  </si>
  <si>
    <t>PUNKSI ACITES DOKTER SPESIALIS</t>
  </si>
  <si>
    <t>PUNKSI HEPAR</t>
  </si>
  <si>
    <t>PUNKSI PLEURA</t>
  </si>
  <si>
    <t>PUNKSI SENDI</t>
  </si>
  <si>
    <t>PUNKSI SUPRAPUBIK</t>
  </si>
  <si>
    <t>PUSHBACK</t>
  </si>
  <si>
    <t>RECTAL TOUCHE DU</t>
  </si>
  <si>
    <t>RECTAL TOUCHE SP</t>
  </si>
  <si>
    <t>REDUKSI TERTUTUP</t>
  </si>
  <si>
    <t>REFRAKSI</t>
  </si>
  <si>
    <t>REPAIR JARINGAN</t>
  </si>
  <si>
    <t>REPAIR JARINGAN DOKTER SPESIALIS</t>
  </si>
  <si>
    <t>REPAIR PERINEUM</t>
  </si>
  <si>
    <t>REPOSISI DAN PASANG SPALK</t>
  </si>
  <si>
    <t>REPOSISI DISLOKASI SEDERHANA DU</t>
  </si>
  <si>
    <t>REPOSISI DISLOKASI SEDERHANA SP</t>
  </si>
  <si>
    <t>REPOSISI DISLOKASI TMJ DU</t>
  </si>
  <si>
    <t>REPOSISI DISLOKASI TMJ SP</t>
  </si>
  <si>
    <t>REPOSISI MANDIBULA DU</t>
  </si>
  <si>
    <t>REPOSISI MANDIBULA SP</t>
  </si>
  <si>
    <t>RESUSITASI JANTUNG PARU DENGAN INTUBASI DU</t>
  </si>
  <si>
    <t>RESUSITASI JANTUNG PARU DENGAN INTUBASI SP</t>
  </si>
  <si>
    <t>RESUSITASI JANTUNG PARU TANPA INTUBASI DU</t>
  </si>
  <si>
    <t>RESUSITASI JANTUNG PARU TANPA INTUBASI SP</t>
  </si>
  <si>
    <t>RHINOPHARINGOSKOPI (RFL)</t>
  </si>
  <si>
    <t>RINOSKOPI POSTERIOR</t>
  </si>
  <si>
    <t>RLF</t>
  </si>
  <si>
    <t>ROSERPLASTY (CABUT KUKU SEBAGIAN) DU</t>
  </si>
  <si>
    <t>ROSERPLASTY (CABUT KUKU SEBAGIAN) SP</t>
  </si>
  <si>
    <t>SALINE INFUSION SONOHISTOGRAFI (SIS)</t>
  </si>
  <si>
    <t>SCRAPING MATA</t>
  </si>
  <si>
    <t>SERDEL / FLUORESCEIN TEST</t>
  </si>
  <si>
    <t>SETTING VENTILATOR</t>
  </si>
  <si>
    <t>SETTING VENTILATOR BAYI</t>
  </si>
  <si>
    <t>SKIN GRAF</t>
  </si>
  <si>
    <t>SKIN TRAKSI</t>
  </si>
  <si>
    <t>SLIT LAMP</t>
  </si>
  <si>
    <t>SPOOLING DU</t>
  </si>
  <si>
    <t>SPOOLING SP</t>
  </si>
  <si>
    <t>STERIL</t>
  </si>
  <si>
    <t>SUCTION DU</t>
  </si>
  <si>
    <t>SUCTION SP</t>
  </si>
  <si>
    <t>SUNTIK VAKSIN COVID</t>
  </si>
  <si>
    <t>SWAB TENGGOROKAN / HIDUNG</t>
  </si>
  <si>
    <t>SWAB VAGINA</t>
  </si>
  <si>
    <t>TAMPON CAVUM NASI</t>
  </si>
  <si>
    <t>TAMPON CAVUM NASI ( AFF )</t>
  </si>
  <si>
    <t>TAMPON TELINGA</t>
  </si>
  <si>
    <t>TAMPON TELINGA ( AFF )</t>
  </si>
  <si>
    <t>TCC DUPLEX</t>
  </si>
  <si>
    <t>TES BUTA WARNA SP</t>
  </si>
  <si>
    <t>TES LAPANG PANDANG DU</t>
  </si>
  <si>
    <t>TES LAPANG PANDANG SP</t>
  </si>
  <si>
    <t>TEST BUTA WARNA ( DOKTER ) DU</t>
  </si>
  <si>
    <t>THUNDER PAIN</t>
  </si>
  <si>
    <t>TINDAKAN DAN EDUKASI ERACS</t>
  </si>
  <si>
    <t>TINDAKAN IMUNISASI</t>
  </si>
  <si>
    <t>TINDAKAN INFUS INTRAOSSEUS</t>
  </si>
  <si>
    <t>TINDAKAN INFUS UMBILICAL CATHETER</t>
  </si>
  <si>
    <t>TINDAKAN INFUS VENA PERIFER</t>
  </si>
  <si>
    <t>TINDAKAN SECRETOME</t>
  </si>
  <si>
    <t>TINDAKAN STEM CELL</t>
  </si>
  <si>
    <t>TOILET HIDUNG</t>
  </si>
  <si>
    <t>TOILET TELINGA</t>
  </si>
  <si>
    <t>TONOMETER SCHIOLTZ</t>
  </si>
  <si>
    <t>TRAKHEOSTOMI</t>
  </si>
  <si>
    <t>TRANFUSI TUKAR</t>
  </si>
  <si>
    <t>USG THORAKS MARKER</t>
  </si>
  <si>
    <t>VAGINA TOILET</t>
  </si>
  <si>
    <t>VAGINA TOUCHER</t>
  </si>
  <si>
    <t>VAGINAL BIRTH AFTER CAESAREAN (VBAC)</t>
  </si>
  <si>
    <t>VENA SECTIE</t>
  </si>
  <si>
    <t>VENA SECTIE DNG PENYULIT</t>
  </si>
  <si>
    <t>WT BESAR (DU)</t>
  </si>
  <si>
    <t>WT BESAR (SP)</t>
  </si>
  <si>
    <t>WT KECIL (DU)</t>
  </si>
  <si>
    <t>WT KECIL (SP)</t>
  </si>
  <si>
    <t>WT SEDANG (DU)</t>
  </si>
  <si>
    <t>WT SEDANG (SP)</t>
  </si>
  <si>
    <t>AUDIOMETRI</t>
  </si>
  <si>
    <t>DOBUTAMINE STRESS ECHO CARDIOGRAPHY</t>
  </si>
  <si>
    <t>ECHO COLOR DOPPLER</t>
  </si>
  <si>
    <t>ENDOSCOPY + ANASTESI + BIOPSI</t>
  </si>
  <si>
    <t>ENDOSCOPY + ANASTESY +KONSUL DOKTER ANAK &amp; ANASTESY</t>
  </si>
  <si>
    <t>ENDOSCOPY + COLONOSCOPY</t>
  </si>
  <si>
    <t>OAE (OTO ACUSTIC EMISION)</t>
  </si>
  <si>
    <t>PEMERIKSAAN MMSE</t>
  </si>
  <si>
    <t>SITOLOGI CAIRAN PLEURA</t>
  </si>
  <si>
    <t>SPIROMETRI</t>
  </si>
  <si>
    <t>TRANSFUSI DARAH</t>
  </si>
  <si>
    <t>TRANSFUSI DARAH PMI JAKARTA</t>
  </si>
  <si>
    <t>TRANSFUSI DARAH PRC LEUKODEPLETED</t>
  </si>
  <si>
    <t>TRANSFUSI DARAH TC APHERESIS</t>
  </si>
  <si>
    <t>TRANSFUSI PLASMA KONVALESEN</t>
  </si>
  <si>
    <t>TREADMILL NORMAL</t>
  </si>
  <si>
    <t>USG 2D KANDUNGAN (GINEKOLOGI) PAKAI FILM</t>
  </si>
  <si>
    <t>USG 2D KANDUNGAN (OBSTETRI) PAKAI FILM</t>
  </si>
  <si>
    <t>USG 2D KANDUNGAN TANPA FILM</t>
  </si>
  <si>
    <t>USG 3D KANDUNGAN PAKAI FILM</t>
  </si>
  <si>
    <t>USG 3D KANDUNGAN TANPA FILM</t>
  </si>
  <si>
    <t>USG 4D KANDUNGAN PAKAI FILM</t>
  </si>
  <si>
    <t>USG 4D KANDUNGAN TANPA FILM</t>
  </si>
  <si>
    <t>USG CAROTIS (SP. N)</t>
  </si>
  <si>
    <t>USG FETOMATERNAL</t>
  </si>
  <si>
    <t>USG KANDUNGAN DOPPLER</t>
  </si>
  <si>
    <t>USG NEUROMUSCULAR</t>
  </si>
  <si>
    <t>USG TANPA FILM</t>
  </si>
  <si>
    <t>USG TRANSVAGINAL</t>
  </si>
  <si>
    <t>USG TRANSVAGINAL PAKAI FILM</t>
  </si>
  <si>
    <t>DETOK WAJAH</t>
  </si>
  <si>
    <t>EKSTRAKSI KOMEDO ( BERAT )</t>
  </si>
  <si>
    <t>EKSTRAKSI KOMEDO ( RINGAN )</t>
  </si>
  <si>
    <t>EKSTRAKSI KOMEDO ( SEDANG )</t>
  </si>
  <si>
    <t>EKSTRAKSI MILIA ( BERAT )</t>
  </si>
  <si>
    <t>EKSTRAKSI MILIA ( RINGAN )</t>
  </si>
  <si>
    <t>EKSTRAKSI MILIA ( SEDANG )</t>
  </si>
  <si>
    <t>ELEKTROFACIAL DOKTER TIPE A</t>
  </si>
  <si>
    <t>ELEKTROFACIAL DOKTER TIPE B</t>
  </si>
  <si>
    <t>ELEKTROFACIAL DOKTER TIPE C</t>
  </si>
  <si>
    <t>ELEKTROFACIAL TIPE D</t>
  </si>
  <si>
    <t>ELEKTROFACIAL TIPE E</t>
  </si>
  <si>
    <t>ELEKTROKAUTER + ANESTESI INFILTRASI/TOPIKAL ( BERAT )</t>
  </si>
  <si>
    <t>ELEKTROKAUTER + ANESTESI INFILTRASI/TOPIKAL ( RINGAN )</t>
  </si>
  <si>
    <t>ELEKTROKAUTER + ANESTESI INFILTRASI/TOPIKAL ( SEDANG )</t>
  </si>
  <si>
    <t>PEELING ( INTERNASIONAL 1 LAPIS )</t>
  </si>
  <si>
    <t>PEELING ( INTERNASIONAL 2 LAPIS )</t>
  </si>
  <si>
    <t>PEELING CORAL</t>
  </si>
  <si>
    <t>PEELING FLEX</t>
  </si>
  <si>
    <t>PEELING NEOSTRATA</t>
  </si>
  <si>
    <t>SUNTIK JERAWAT ( BERAT )</t>
  </si>
  <si>
    <t>SUNTIK JERAWAT ( RINGAN )</t>
  </si>
  <si>
    <t>SUNTIK JERAWAT ( SEDANG )</t>
  </si>
  <si>
    <t>SUNTIK REJUVENATION</t>
  </si>
  <si>
    <t>ANGKAT KATETER</t>
  </si>
  <si>
    <t>ATS INJEKSI</t>
  </si>
  <si>
    <t>BAGING &lt;12 JAM</t>
  </si>
  <si>
    <t>BAGING &gt;12 JAM</t>
  </si>
  <si>
    <t>GANTI CANULE TRAKHEOSTOMI</t>
  </si>
  <si>
    <t>GANTI VERBAN BESAR</t>
  </si>
  <si>
    <t>GANTI VERBAN KECIL</t>
  </si>
  <si>
    <t>GANTI VERBAN SEDANG</t>
  </si>
  <si>
    <t>OBSERVASI DENGAN PASIEN MONITOR</t>
  </si>
  <si>
    <t>PAKET FORMALIN</t>
  </si>
  <si>
    <t>PAKET FORMALIN (LUAR RS)</t>
  </si>
  <si>
    <t>PASANG INFUS DENGAN PENYULIT</t>
  </si>
  <si>
    <t>PASANG INFUS DNG PENYULIT (OC)</t>
  </si>
  <si>
    <t>PASANG INFUS PERAWAT</t>
  </si>
  <si>
    <t>PASANG IV LINE</t>
  </si>
  <si>
    <t>PASANG KATETER PERAWAT</t>
  </si>
  <si>
    <t>PASANG NGT</t>
  </si>
  <si>
    <t>PASANG SCORRSTEIN (CEROBONG ANGIN)</t>
  </si>
  <si>
    <t>PEMASANGAN ELASTIS VERBAN</t>
  </si>
  <si>
    <t>PEMBERIAN POLIO TETES DI PERINA</t>
  </si>
  <si>
    <t>PENGUKURAN TENSIMETER</t>
  </si>
  <si>
    <t>SKIN TEST</t>
  </si>
  <si>
    <t>SPALK</t>
  </si>
  <si>
    <t>SPALK ANAK</t>
  </si>
  <si>
    <t>TEST BUTA WARNA</t>
  </si>
  <si>
    <t>TINDIK / SUNAT</t>
  </si>
  <si>
    <t>AFF HECTING SETELAH CABUT GIGI</t>
  </si>
  <si>
    <t>ANASTESI INTRA ORAL</t>
  </si>
  <si>
    <t>APLIKASI FLOUR</t>
  </si>
  <si>
    <t>APLIKASI FLOUR (DG S CETAK)</t>
  </si>
  <si>
    <t>CABUT GIGI DEWASA + SURGERY</t>
  </si>
  <si>
    <t>DENTAL EMERGENCY TREATMENT</t>
  </si>
  <si>
    <t>DIRECK LABIAL VENEERING</t>
  </si>
  <si>
    <t>FINISHING DAN POLISHING TAMBALAN</t>
  </si>
  <si>
    <t>FLAP OPERATION STICHCES AFTER OD</t>
  </si>
  <si>
    <t>GANTI VERBAN BESAR (GIGI)</t>
  </si>
  <si>
    <t>GANTI VERBAN KECIL (GIGI)</t>
  </si>
  <si>
    <t>GANTI VERBAN SEDANG (GIGI)</t>
  </si>
  <si>
    <t>GIGI PALSU SEMENTARA</t>
  </si>
  <si>
    <t>INCISI ABSES + CURETASE GIGI</t>
  </si>
  <si>
    <t>KURETASE PERIODONTAL 0.5 KUADRAN</t>
  </si>
  <si>
    <t>KURETASE SETELAH EKSTRAKSI</t>
  </si>
  <si>
    <t>KURETASE TI-ES</t>
  </si>
  <si>
    <t>MIX MIRACLE BESAR</t>
  </si>
  <si>
    <t>MIX MIRACLE KECIL</t>
  </si>
  <si>
    <t>OCCLUSAL ADJUSTMENT</t>
  </si>
  <si>
    <t>ODONTECTOMY (IMPECTED TOOTH OPERATION) KELAS I</t>
  </si>
  <si>
    <t>OPEN BUR (GANDA)</t>
  </si>
  <si>
    <t>OPEN BUR (TUNGGAL)</t>
  </si>
  <si>
    <t>OPERCULECTOMY / GUM SURGERY (ELECTROSURGERY)</t>
  </si>
  <si>
    <t>ORTHODONTIC FIXED RA + RB</t>
  </si>
  <si>
    <t>Paket Scaling dan Polishing</t>
  </si>
  <si>
    <t>PENCABUTAN GANGGREN PULPA</t>
  </si>
  <si>
    <t>PENCABUTAN GANGGREN RADIX</t>
  </si>
  <si>
    <t>PENCABUTAN GIGI KOMPLIKASI DENGAN DRG. UMUM</t>
  </si>
  <si>
    <t>PENCABUTAN/EKSTRAKSI ALVEOLECTOMIM PER KWADRAN</t>
  </si>
  <si>
    <t>PENCABUTAN/EKSTRAKSI CROWN LENGTHENING</t>
  </si>
  <si>
    <t>PENCABUTAN/EKSTRAKSI GIGI ANAK DENGAN SUNTIKAN</t>
  </si>
  <si>
    <t>PENCABUTAN/EKSTRAKSI GIGI ANAK TANPA SUNTIKAN</t>
  </si>
  <si>
    <t>PENCABUTAN/EKSTRAKSI M3 DG KOMPLIKASI TANPA OD</t>
  </si>
  <si>
    <t>PENCABUTAN/EKSTRAKSI OPERCULECTOMY/GUM SURGERY</t>
  </si>
  <si>
    <t>PENGISIAN SALURAN AKAR GANDA</t>
  </si>
  <si>
    <t>PENGISIAN SALURAN AKAR TUNGGAL</t>
  </si>
  <si>
    <t>PERAWATAN SALURAN AKAR GANDA DNG INJEKSI</t>
  </si>
  <si>
    <t>PERAWATAN SALURAN AKAR TUNGGAL DNG INJEKSI</t>
  </si>
  <si>
    <t>PIT DAN FISSURE SEALANT</t>
  </si>
  <si>
    <t>POLISHING RA+RB ANAK</t>
  </si>
  <si>
    <t>POLISHING RA+RB DEWASA</t>
  </si>
  <si>
    <t>PREMEDIKASI DR GIGI</t>
  </si>
  <si>
    <t>PROBING DENGAN BIUS</t>
  </si>
  <si>
    <t>PSA AKAR GANDA</t>
  </si>
  <si>
    <t>PSA AKAR TUNGGAL</t>
  </si>
  <si>
    <t>REPOSISI DAN FIXSASI FRAKTUR MANDIBULA &amp; CODILE</t>
  </si>
  <si>
    <t>REPOSISI GIGI</t>
  </si>
  <si>
    <t>SCALING KURETASE PERIODONTAL 1 KUADRAN</t>
  </si>
  <si>
    <t>SCALING PER 1 RAHANG CLASS 1</t>
  </si>
  <si>
    <t>SCALING PER 1 RAHANG CLASS 2</t>
  </si>
  <si>
    <t>SCALING RA/RB CLASS 1</t>
  </si>
  <si>
    <t>SCALING RA/RB CLASS II</t>
  </si>
  <si>
    <t>TAMBALAN BULKFILL SDR</t>
  </si>
  <si>
    <t>TAMBALAN EVER - X</t>
  </si>
  <si>
    <t>TAMBALAN FABRICATED DIRECT PIN</t>
  </si>
  <si>
    <t>TAMBALAN KOMPOSIT PASCA PERAWATAN SALURAN AKAR</t>
  </si>
  <si>
    <t>TAMBALAN SEMENTARA DG PENGISIAN SAL AKAR GIGI MOLAR 3</t>
  </si>
  <si>
    <t>TAMBALAN SEMENTARA DG PENGISIAN SALURAN AKAR</t>
  </si>
  <si>
    <t>TAMBALAN SEMENTARA DG PENGISIAN SALURAN AKAR GANDA</t>
  </si>
  <si>
    <t>TAMBALAN SEMENTARA DG PERAWATAN SAL AKAR GIGI MOLAR 3</t>
  </si>
  <si>
    <t>TAMBALAN SEMENTARA DG PERAWATAN SALURAN AKAR</t>
  </si>
  <si>
    <t>TAMBALAN SEMENTARA DG PERAWATAN SALURAN AKAR GANDA</t>
  </si>
  <si>
    <t>TAMBALAN SEMENTARA/PENGGANTIAN OBAT</t>
  </si>
  <si>
    <t>TAMBALAN TETAP DG AMALGAM BESAR</t>
  </si>
  <si>
    <t>TAMBALAN TETAP DG AMALGAM KECIL</t>
  </si>
  <si>
    <t>TAMBALAN TETAP DG GLASS IONOMER BESAR</t>
  </si>
  <si>
    <t>TAMBALAN TETAP DG GLASS IONOMER KECIL</t>
  </si>
  <si>
    <t>TAMBALAN TETAP DG LIGHT CURING BESAR</t>
  </si>
  <si>
    <t>TAMBALAN TETAP DG LIGHT CURING COMPOSITE_ GIGI ANTERIOR MELIPUTI PERMUKAAN LUAS</t>
  </si>
  <si>
    <t>TAMBALAN TETAP DG LIGHT CURING KECIL</t>
  </si>
  <si>
    <t>AKTIVASI ORTHODONTI CEKAT</t>
  </si>
  <si>
    <t>AKTIVASI ORTHODONTI LEPASAN</t>
  </si>
  <si>
    <t>ALL PORCELAIN CROWN ( LAB CIPTA )</t>
  </si>
  <si>
    <t>ALL PORCELAIN E MAX ( LAB CIPTA )</t>
  </si>
  <si>
    <t>ALL PORCELAIN ZIRCONIA ( LAB CIPTA )</t>
  </si>
  <si>
    <t>BONGKAR CROWN</t>
  </si>
  <si>
    <t>BONGKAR DENTURE / AKRILIK</t>
  </si>
  <si>
    <t>BUILD CORE</t>
  </si>
  <si>
    <t>CEMENTASI</t>
  </si>
  <si>
    <t>CEMENTASI RELYX</t>
  </si>
  <si>
    <t>CETAK RA + RB</t>
  </si>
  <si>
    <t>CROWN ALL ACRYLIC 1</t>
  </si>
  <si>
    <t>CROWN ALL ACRYLIC 2 (LAB HAN`S)</t>
  </si>
  <si>
    <t>CROWN ALL PORCELAIN 1</t>
  </si>
  <si>
    <t>CROWN E-MAX</t>
  </si>
  <si>
    <t>CROWN IMPLANT</t>
  </si>
  <si>
    <t>CROWN METAL ACRYLIC 1</t>
  </si>
  <si>
    <t>CROWN METAL ACRYLIC 2 (LAB HAN`S)</t>
  </si>
  <si>
    <t>CROWN METAL FUSED TO PORCELAIN 1</t>
  </si>
  <si>
    <t>CROWN METAL FUSED TO PORCELAIN 2 (LAB HAN`S)</t>
  </si>
  <si>
    <t>CROWN PROVISORIS</t>
  </si>
  <si>
    <t>CROWN ZIRCONIA</t>
  </si>
  <si>
    <t>DEBONDING (LEPAS BRACKET)</t>
  </si>
  <si>
    <t>FIBER POST</t>
  </si>
  <si>
    <t>FULL DENTURE ACRILIC RAHANG ATAS DAN BAWAH 2</t>
  </si>
  <si>
    <t>FULL DENTURE ACRYLIC RAHANG ATAS DAN BAWAH</t>
  </si>
  <si>
    <t>GANTI WIRE / RAHANG</t>
  </si>
  <si>
    <t>GIGI TAMBAHAN VALPLAST</t>
  </si>
  <si>
    <t>HOME BLEACHING RA+RB</t>
  </si>
  <si>
    <t>KONTROL ORTHODONTI CEKAT CERAMIK 1</t>
  </si>
  <si>
    <t>KONTROL ORTHODONTI CEKAT DAMON</t>
  </si>
  <si>
    <t>KONTROL ORTHODONTI CEKAT KERAMIK 2</t>
  </si>
  <si>
    <t>KONTROL ORTHODONTI CEKAT METAL</t>
  </si>
  <si>
    <t>KONTROL ORTHODONTI CEKAT SAFIR</t>
  </si>
  <si>
    <t>LAB GIGI ACRYLIC CROWN (APIK LAB)</t>
  </si>
  <si>
    <t>LAB GIGI ADDITIONAL CLASP / WIRE (APIK LAB)</t>
  </si>
  <si>
    <t>LAB GIGI ALL METAL (APIK LAB)</t>
  </si>
  <si>
    <t>LAB GIGI ALL PORCELAIN - VENEER EMAX IVOCLAIR (LAB CROWN DENTAL)</t>
  </si>
  <si>
    <t>LAB GIGI BITE RIM (APIK LAB)</t>
  </si>
  <si>
    <t>LAB GIGI BLEACHING TRAY (APIK LAB)</t>
  </si>
  <si>
    <t>LAB GIGI CLEAR RETAINER (APIK LAB)</t>
  </si>
  <si>
    <t>LAB GIGI ELEMEN GIGI ORTHOLUX (APIK LAB)</t>
  </si>
  <si>
    <t>LAB GIGI ELEMEN GIGI STANDAR (APIK LAB)</t>
  </si>
  <si>
    <t>LAB GIGI EXTRA ADVANCE CASE / SHADE (APIK LAB)</t>
  </si>
  <si>
    <t>LAB GIGI EXTRA ADVANCE CASE / SHADE ZIRCONIA (APIK LAB)</t>
  </si>
  <si>
    <t>LAB GIGI EXTRA GINGIVAL PORCELAIN PFM (APIK LAB)</t>
  </si>
  <si>
    <t>LAB GIGI EXTRA PORCELAIN MARGIN APIK LAB)</t>
  </si>
  <si>
    <t>LAB GIGI EXTRA WING / REST PFM (APIK LAB)</t>
  </si>
  <si>
    <t>LAB GIGI EXTRA WINGS / REST E.MAX (APIK LAB)</t>
  </si>
  <si>
    <t>LAB GIGI EXTRA WINGS / REST ZIRCONIA (APIK LAB)</t>
  </si>
  <si>
    <t>LAB GIGI FIXED RETAINER (APIK LAB)</t>
  </si>
  <si>
    <t>LAB GIGI FLEXY PLAT BILATERAL (APIK LAB)</t>
  </si>
  <si>
    <t>LAB GIGI FLEXY PLAT SADDLE (APIK LAB)</t>
  </si>
  <si>
    <t>LAB GIGI FULL CROWN METAL (LAB CORWN DENTAL)</t>
  </si>
  <si>
    <t>LAB GIGI HAWLEY RETAINER (APIK LAB)</t>
  </si>
  <si>
    <t>LAB GIGI INDIRECT CERAMAGE HYBRID (APIK LAB)</t>
  </si>
  <si>
    <t>LAB GIGI INDIRECT COMPOSITE REGULER (APIK LAB)</t>
  </si>
  <si>
    <t>LAB GIGI INLAY / ONLAY / UPLAY METAL (LAB CROWN DENTAL)</t>
  </si>
  <si>
    <t>LAB GIGI INLAY / ONLAY / UPLAY METAL PORCELAIN (LAB CROWN DENTAL)</t>
  </si>
  <si>
    <t>LAB GIGI KERANGKA LOGAM (APIK LAB)</t>
  </si>
  <si>
    <t>LAB GIGI LITHIUM DISLICAYE / E MAX (APIK LAB)</t>
  </si>
  <si>
    <t>LAB GIGI METAL UNTUK POST CORE (APIK LAB)</t>
  </si>
  <si>
    <t>LAB GIGI MOCKUP WAX (APIK LAB)</t>
  </si>
  <si>
    <t>LAB GIGI MOCKUP WAX + INDEX PUTTY (APIK LAB)</t>
  </si>
  <si>
    <t>LAB GIGI NIGHTGUARD (APIK LAB)</t>
  </si>
  <si>
    <t>LAB GIGI PFM (APIK LAB)</t>
  </si>
  <si>
    <t>LAB GIGI PFM (LAB CORWN DENTAL)</t>
  </si>
  <si>
    <t>LAB GIGI PFM IMPLANT CEMENT FIXATION (LAB CORWN DENTAL)</t>
  </si>
  <si>
    <t>LAB GIGI PFM IMPLANT SCREW RETAINED (LAB CORWN DENTAL)</t>
  </si>
  <si>
    <t>LAB GIGI PFM MARYLAND (APIK LAB)</t>
  </si>
  <si>
    <t>LAB GIGI PFM PIN CROWN (APIK LAB)</t>
  </si>
  <si>
    <t>LAB GIGI PLAT AKRIKLIK GTP FULL (APIK LAB)</t>
  </si>
  <si>
    <t>LAB GIGI PLAT AKRILIK (APIK LAB)</t>
  </si>
  <si>
    <t>LAB GIGI PLAT HAWLEY + EXPANSION (APIK LAB)</t>
  </si>
  <si>
    <t>LAB GIGI PROVISORIS / TEMPORARY CROWN (APIK LAB)</t>
  </si>
  <si>
    <t>LAB GIGI REBASING (APIK LAB)</t>
  </si>
  <si>
    <t>LAB GIGI REBASING PLAT AKRILIK (APIK LAB)</t>
  </si>
  <si>
    <t>LAB GIGI REBASING PLAT FLEXY (APIK LAB)</t>
  </si>
  <si>
    <t>LAB GIGI RELINING PLAT AKRIKLIK (APIK LAB)</t>
  </si>
  <si>
    <t>LAB GIGI REPARASI AKRILIK (APIK LAB)</t>
  </si>
  <si>
    <t>LAB GIGI SCP / INDIVIDUAL TRAY (APIK LAB)</t>
  </si>
  <si>
    <t>LAB GIGI SPACE MAINTAINER (APIK LAB)</t>
  </si>
  <si>
    <t>LAB GIGI THERMOSENS / BIOTONE BILATERAL (APIK LAB)</t>
  </si>
  <si>
    <t>LAB GIGI THERMOSENS / BIOTONE PLAT SADDLE (APIK LAB)</t>
  </si>
  <si>
    <t>LAB GIGI ZIRCONIA LAYER / PFZ (APIK LAB)</t>
  </si>
  <si>
    <t>LAB GIGI ZIRCONIA MONOLITHIC (APIK LAB)</t>
  </si>
  <si>
    <t>LAY GIGI MARYLAND ZIRCONIA (APIK LAB)</t>
  </si>
  <si>
    <t>NIGHT GUARD / MOUTH GUARD</t>
  </si>
  <si>
    <t>ODONTECTOMY DRG. UMUM</t>
  </si>
  <si>
    <t>OFFICE BLEACHING RA+RB</t>
  </si>
  <si>
    <t>ORTHODONTI CEKAT CHERAMIK 1</t>
  </si>
  <si>
    <t>ORTHODONTI CEKAT CHERAMIK 2</t>
  </si>
  <si>
    <t>ORTHODONTI CEKAT DAMON</t>
  </si>
  <si>
    <t>ORTHODONTI CEKAT METAL 1</t>
  </si>
  <si>
    <t>ORTHODONTI CEKAT METAL 2</t>
  </si>
  <si>
    <t>ORTHODONTI CEKAT METAL 3</t>
  </si>
  <si>
    <t>ORTHODONTI CEKAT SAFIR 1</t>
  </si>
  <si>
    <t>ORTHODONTI CEKAT SAFIR 2</t>
  </si>
  <si>
    <t>ORTHODONTI FIXED RA + RB</t>
  </si>
  <si>
    <t>ORTHODONTICS DIAGNOSTIC FEE</t>
  </si>
  <si>
    <t>ORTHODONTIK LEPAS PER RAHANG</t>
  </si>
  <si>
    <t>ORTHODONTIK SIMPLE TREATMENT</t>
  </si>
  <si>
    <t>PEMASANGAN GIGI PALSU ACRILIK / RAHANG</t>
  </si>
  <si>
    <t>PEMASANGAN GIGI PALSU CROWN METAL</t>
  </si>
  <si>
    <t>PEMASANGAN GIGI PALSU METAL DENTURE FRAME / RAHANG BILATERAL</t>
  </si>
  <si>
    <t>PEMASANGAN GIGI PALSU METAL DENTURE FRAME/RAHANG SADDLE</t>
  </si>
  <si>
    <t>PEMASANGAN GIGI PALSU METAL DENTURE SADDLE</t>
  </si>
  <si>
    <t>PEMASANGAN GIGI PALSU PER GIGI</t>
  </si>
  <si>
    <t>PEMASANGAN GIGI TAMBAHAN METAL DENTURE</t>
  </si>
  <si>
    <t>PEMASANGAN PLAT GIGI PALSU VALPLAST BILATERAL</t>
  </si>
  <si>
    <t>PEMASANGAN PLAT GIGI PALSU VALPLAST SADDLE</t>
  </si>
  <si>
    <t>PEMUTIHAN GIGI RA + RB (HOME BLEACHING)</t>
  </si>
  <si>
    <t>PROVISORIS CROWN</t>
  </si>
  <si>
    <t>REBASING FULL DENTURE PER RAHANG</t>
  </si>
  <si>
    <t>REBONDING BUCCAL TUBE</t>
  </si>
  <si>
    <t>REBONDING MOLAR BAND</t>
  </si>
  <si>
    <t>REINSERT BRACKET METAL 1 PCS</t>
  </si>
  <si>
    <t>REINSERT BRACKET METAL SAFIR</t>
  </si>
  <si>
    <t>REPAIR DENTURE COMPLEK</t>
  </si>
  <si>
    <t>REPAIR DENTURE SIMPLE</t>
  </si>
  <si>
    <t>REPARASI GTS BASIS</t>
  </si>
  <si>
    <t>RETAINER HAWLEY RA</t>
  </si>
  <si>
    <t>RETAINER HAWLEY RB</t>
  </si>
  <si>
    <t>RETAINER LINDA RA</t>
  </si>
  <si>
    <t>RETAINER LINDA RB</t>
  </si>
  <si>
    <t>RETAINER TRANSPARAN / RAHANG</t>
  </si>
  <si>
    <t>SCP ( SENDOK CETAK PERSEORANGAN )</t>
  </si>
  <si>
    <t>TAMBALAN INLAY / ONLAY / UPLAY / (METAL)</t>
  </si>
  <si>
    <t>TAMBALAN INLAY / ONLAY / UPLAY TOOTH COLOUR</t>
  </si>
  <si>
    <t>TAMBALAN POST CORE CASTING</t>
  </si>
  <si>
    <t>VENEER E-MAX</t>
  </si>
  <si>
    <t>BEDAH FLAP PARTIAL / FULL (SP.PERIO)</t>
  </si>
  <si>
    <t>BEDAH FLAP RESESI / CAF (SP.PERIO)</t>
  </si>
  <si>
    <t>BONE GRAFT (SP.PERIO)</t>
  </si>
  <si>
    <t>CROWN LENGTHENING (SP.PERIO)</t>
  </si>
  <si>
    <t>CTG / FGG (SP.PERIO)</t>
  </si>
  <si>
    <t>DEPIGMENTASI GINGIVA / ABLASI PER RAHANG (SP.PERIO)</t>
  </si>
  <si>
    <t>DESENSITIZING</t>
  </si>
  <si>
    <t>FRENEKTOMI (SP.PERIO)</t>
  </si>
  <si>
    <t>GINGIVEKTOMI / GIGI (SP.PERIO)</t>
  </si>
  <si>
    <t>GINGIVEKTOMI / REGIO (SP.PERIO)</t>
  </si>
  <si>
    <t>IMPLAN PLACEMENT (SP.PERIO)</t>
  </si>
  <si>
    <t>KURETASE / GIGI (SP.PERIO)</t>
  </si>
  <si>
    <t>KURETASE / REGIO (SP.PERIO)</t>
  </si>
  <si>
    <t>MAHKOTA IMPLAN ZIRCONIA (SP.PERIO)</t>
  </si>
  <si>
    <t>MEMBRAN (SP.PERIO)</t>
  </si>
  <si>
    <t>OCCLUSAL ADJUSMENT / GIGI (SP.PERIO)</t>
  </si>
  <si>
    <t>OPERKULEKTOMI (SP.PERIO)</t>
  </si>
  <si>
    <t>POCKET THERAPY (TI-ES) / METRONIDAZOLE (SP.PERIO)</t>
  </si>
  <si>
    <t>SCALING &amp; ROOT DEBRIDEMENT (RA+RB) KELAS 1 (SP.PERIO)</t>
  </si>
  <si>
    <t>SCALING &amp; ROOT DEBRIDEMENT (RA+RB) KELAS 2 (SP.PERIO)</t>
  </si>
  <si>
    <t>SCALING &amp; ROOT DEBRIDEMENT (RA+RB) KELAS 3 (SP.PERIO)</t>
  </si>
  <si>
    <t>SCALLING / RAHANG (SP.PERIO)</t>
  </si>
  <si>
    <t>SPLINTING FIBER REINFORCED / GIGI (SP.PERIO)</t>
  </si>
  <si>
    <t>SPLINTING WIRE / GIGI (SP.PERIO)</t>
  </si>
  <si>
    <t>VALPLAST WITH 1 GIGI (SP.PERIO)</t>
  </si>
  <si>
    <t>ANESTESI INTRA ORAL (SP)</t>
  </si>
  <si>
    <t>APLIKASI MTA</t>
  </si>
  <si>
    <t>BUILD CORE (SP)</t>
  </si>
  <si>
    <t>CEMENTASI (SP)</t>
  </si>
  <si>
    <t>CROWN E-MAX (SP)</t>
  </si>
  <si>
    <t>CROWN PFM (SP)</t>
  </si>
  <si>
    <t>CROWN ZIRCONIA (SP)</t>
  </si>
  <si>
    <t>DENTAL EMERGENCY TREATMENT(SP)</t>
  </si>
  <si>
    <t>DIRECT LABIAL VEENERING (SP)</t>
  </si>
  <si>
    <t>FINISHING DAN POLISHING TAMBALAN (SP)</t>
  </si>
  <si>
    <t>IN OFFICE BLEACHING</t>
  </si>
  <si>
    <t>INCISI ABSES + CURETASE GIGI (SP)</t>
  </si>
  <si>
    <t>INSERSI FIBER POST</t>
  </si>
  <si>
    <t>INSERSI RUBBER DAM</t>
  </si>
  <si>
    <t>IRIGASI SPOOLING</t>
  </si>
  <si>
    <t>MEDIKAMEN SALURAN AKAR</t>
  </si>
  <si>
    <t>OBTURASI BIOCERAMIC / SALURAN</t>
  </si>
  <si>
    <t>OCCLUSAL ADJUSTMENT (SP)</t>
  </si>
  <si>
    <t>ONE VISITE ENDODONTIC</t>
  </si>
  <si>
    <t>OPEN BUR GANDA (SP)</t>
  </si>
  <si>
    <t>OPEN BUR TUNGGAL (SP)</t>
  </si>
  <si>
    <t>PENGISIAN SALURAN AKAR GANDA (SP)</t>
  </si>
  <si>
    <t>PENGISIAN SALURAN AKAR TUNGGAL (SP)</t>
  </si>
  <si>
    <t>PIT DAN FISSURE SEALENT (SP)</t>
  </si>
  <si>
    <t>POLISHING RA + RB ANAK (SP)</t>
  </si>
  <si>
    <t>POLISHING RA+RB DEWASA (SP)</t>
  </si>
  <si>
    <t>PREMEDIKASI DR GIGI (SP)</t>
  </si>
  <si>
    <t>PSA AKAR GANDA (SP)</t>
  </si>
  <si>
    <t>PSA AKAR TUNGGAL (SP)</t>
  </si>
  <si>
    <t>PSA ROTARY / SALURAN</t>
  </si>
  <si>
    <t>PULP CAPPING</t>
  </si>
  <si>
    <t>REPOSISI GIGI  (SP. KG)</t>
  </si>
  <si>
    <t>SPLINTING PER GIGI (SP. KG)</t>
  </si>
  <si>
    <t>TAMBALAN BULKFILL SDR (SP)</t>
  </si>
  <si>
    <t>TAMBALAN EVER-X (SP)</t>
  </si>
  <si>
    <t>TAMBALAN FABRICATED DIRECT PIN (SP)</t>
  </si>
  <si>
    <t>TAMBALAN KELAS 1/3/5</t>
  </si>
  <si>
    <t>TAMBALAN KELAS 2</t>
  </si>
  <si>
    <t>TAMBALAN KELAS 4</t>
  </si>
  <si>
    <t>TAMBALAN KOMPOSIT PASCA PERAWATAN (SP)</t>
  </si>
  <si>
    <t>TAMBALAN SEMENTARA DENGAN PENGISIAN SAL AKAR GIGI MOLAR 3 (SP)</t>
  </si>
  <si>
    <t>TAMBALAN SEMENTARA DG PENGISIAN SALURAN AKAR (SP)</t>
  </si>
  <si>
    <t>TAMBALAN SEMENTARA DG PENGISIAN SALURAN AKAR GANDA (SP)</t>
  </si>
  <si>
    <t>TAMBALAN SEMENTARA DG PERAWATAN SAL AKAR GIGI MOLAR 3 (SP)</t>
  </si>
  <si>
    <t>TAMBALAN SEMENTARA DG PERAWATAN SALURAN AKAR (SP)</t>
  </si>
  <si>
    <t>TAMBALAN SEMENTARA DG PERAWATAN SALURAN AKAR GANDA (SP)</t>
  </si>
  <si>
    <t>TAMBALAN SEMENTARA/PENGGANTIAN OBAT (SP)</t>
  </si>
  <si>
    <t>TAMBALAN TETAP DG AMALGAM BESAR (SP)</t>
  </si>
  <si>
    <t>TAMBALAN TETAP DG AMALGAM KECIL (SP)</t>
  </si>
  <si>
    <t>TAMBALAN TETAP DG GLASS IONOMER BESAR (SP)</t>
  </si>
  <si>
    <t>TAMBALAN TETAP DG GLASS IONOMER KECIL (SP)</t>
  </si>
  <si>
    <t>TAMBALAN TETAP DG LIGHT CURING COMPOSITE_ GIGI ANTERIOR MELIPUTI PERMUKAAN LUAS (SP)</t>
  </si>
  <si>
    <t>ALVEOLECTOMY PER KUADRAN DG SPBM</t>
  </si>
  <si>
    <t>APEK RESEKSI/GIGI DG SPBM</t>
  </si>
  <si>
    <t>BUKA JAHITAN DG SPBM</t>
  </si>
  <si>
    <t>DEBRIDEMENT FRACTURE DENTO ALVEOLAR/RAHANG DG SPBM</t>
  </si>
  <si>
    <t>ENUKLEASI KISTA KECIL DG SPBM</t>
  </si>
  <si>
    <t>EXCISI MUCOLELE DG SPBM</t>
  </si>
  <si>
    <t>EXCISI TUMOR JINAK DG SPBM</t>
  </si>
  <si>
    <t>FIKSASI FRAKTUR DG ARCH BAR/RAHANG DG SPBM</t>
  </si>
  <si>
    <t>FRENEKTOMY DG SPBM</t>
  </si>
  <si>
    <t>INCISI ABSES EKSTRA ORAL DG SPBM</t>
  </si>
  <si>
    <t>INCISI BIOPSI DGN SPBM</t>
  </si>
  <si>
    <t>KURETASE SETELAH EKSTRAKSI DG SPBM</t>
  </si>
  <si>
    <t>ODONTECTOMY DRG. SPBM</t>
  </si>
  <si>
    <t>ODONTECTOMY KASUS SULIT DGN SPBM</t>
  </si>
  <si>
    <t>OPERCULECTOMY DGN SPBM</t>
  </si>
  <si>
    <t>PENCABUTAN GIGI KOMPLIKASI (DG PBDHN)/GIGI DG SPBM</t>
  </si>
  <si>
    <t>PENCABUTAN/EKSTRAKSI GIGI DG SPBM</t>
  </si>
  <si>
    <t>PENUTUPAN OROANTRAL FISTULA DG SPBM</t>
  </si>
  <si>
    <t>REPOSISI TTP DISLOKASI T. MANDIBULAR JOINT SPBM</t>
  </si>
  <si>
    <t>WINDOWING EXSPOSURE SPBM</t>
  </si>
  <si>
    <t>OBSERVASI DI VK</t>
  </si>
  <si>
    <t>KELAS VIP/VVIP/ R. KHUSUS</t>
  </si>
  <si>
    <t>KELAS 1 / PERINATOLOGI</t>
  </si>
  <si>
    <t>KELAS VIP/VVIP/
R. KHUSUS</t>
  </si>
  <si>
    <t>BEKASI, 31 JANUARI 2026</t>
  </si>
  <si>
    <t>KELAS 1/ PERINATOLOGI</t>
  </si>
  <si>
    <t>KELAS VIP/ RUANG KHUSUS</t>
  </si>
  <si>
    <t>KELAS VIP/VVIP/ RUANG KHUSUS</t>
  </si>
  <si>
    <t>KELAS 3/
RAWAT JALAN</t>
  </si>
  <si>
    <t>KELAS VIP/VVIP/ 
R. KHUSUS</t>
  </si>
  <si>
    <t>7.2.5. JASA OPERATOR INTERVENSI (NEUROLOGI DAN JANTUNG)</t>
  </si>
  <si>
    <t>7.2.7. JASA OPERATOR LAPARASCOPY</t>
  </si>
  <si>
    <t>Laparaskopi Diagnostik dan Biopsi</t>
  </si>
  <si>
    <t>7.3.8. Golongan Tindakan Laparascopy</t>
  </si>
  <si>
    <t>Laparaskopu Eksplorasi + Adhesiolisis</t>
  </si>
  <si>
    <t>Laparaskopi Eksplorasi + Darinage</t>
  </si>
  <si>
    <t>Laparaskopi Inguinal Hernia Repair 1 Sisi</t>
  </si>
  <si>
    <t>Laparaskopi Kolesistektomi</t>
  </si>
  <si>
    <t>Laparaskopi Kolesistektomi + Eksplorasi CBD</t>
  </si>
  <si>
    <t>Laparaskopi Ventral Hernia Repair</t>
  </si>
  <si>
    <t>Laparaskopi Gastrotomi</t>
  </si>
  <si>
    <t>Laparaskopi Heller</t>
  </si>
  <si>
    <t>Laparaskopi Ileo/Colostomio</t>
  </si>
  <si>
    <t>Laparaskopi Kolesistostomi</t>
  </si>
  <si>
    <t>Laparaskopi Appendektomi dengan Penyulit</t>
  </si>
  <si>
    <t>Laparaskopi Eksplorasi + Adhesiolisis dengan Penyulit</t>
  </si>
  <si>
    <t>Laparaskopi Kolesistektomi + Adhesiolisis</t>
  </si>
  <si>
    <t>Laparaskopi Hernia + Mesh + Penyulit</t>
  </si>
  <si>
    <t>Laparaskopi Kolorektal</t>
  </si>
  <si>
    <t>Laparaskopi Repair Hernia Diafragmatika</t>
  </si>
  <si>
    <t>dr. subspesialis</t>
  </si>
  <si>
    <t>Tubektomi</t>
  </si>
  <si>
    <t>Tubektomi dengan Penyulit</t>
  </si>
  <si>
    <t>Cirkumsisi bius lokal</t>
  </si>
  <si>
    <t>Odontektektomi Bilateral</t>
  </si>
  <si>
    <t>Ekstraksi Gigi dengan dr. Bedah Mulut</t>
  </si>
  <si>
    <t>Fiksasi Reposisi Fraktur Mandibula</t>
  </si>
  <si>
    <t>Orif Rekonstruksi</t>
  </si>
  <si>
    <t>Pelayanan Persalinan di Kamar</t>
  </si>
  <si>
    <t>-</t>
  </si>
  <si>
    <t>BHP CATHLAB</t>
  </si>
  <si>
    <t>BHP Endoscopy</t>
  </si>
  <si>
    <t>BHP Laparascopy</t>
  </si>
  <si>
    <t>Turbinektomi Endoskopi</t>
  </si>
  <si>
    <t>Laparascopy Appendiktomi dengan Penyulit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</si>
</sst>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Rp&quot;* #,##0_-;\-&quot;Rp&quot;* #,##0_-;_-&quot;Rp&quot;* &quot;-&quot;_-;_-@_-"/>
    <numFmt numFmtId="164" formatCode="_(* #,##0_);_(* \(#,##0\);_(* &quot;-&quot;??_);_(@_)"/>
    <numFmt numFmtId="165" formatCode="_-&quot;Rp&quot;* #,##0_-;\-&quot;Rp&quot;* #,##0_-;_-&quot;Rp&quot;* &quot;-&quot;??_-;_-@_-"/>
    <numFmt numFmtId="166" formatCode="0.000"/>
  </numFmts>
  <fonts count="2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b/>
      <sz val="14"/>
      <color theme="1"/>
      <name val="Calibri"/>
      <family val="2"/>
    </font>
    <font>
      <b/>
      <sz val="16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2"/>
      <color theme="1"/>
      <name val="Calibri"/>
      <family val="2"/>
    </font>
    <font>
      <sz val="11"/>
      <color rgb="FF9C5700"/>
      <name val="Aptos Narrow"/>
      <family val="2"/>
      <scheme val="minor"/>
    </font>
    <font>
      <sz val="8"/>
      <color theme="1"/>
      <name val="Arial"/>
      <family val="2"/>
    </font>
    <font>
      <b/>
      <sz val="13"/>
      <color theme="1"/>
      <name val="Aptos Narrow"/>
      <family val="2"/>
      <scheme val="minor"/>
    </font>
    <font>
      <sz val="11"/>
      <name val="Calibri"/>
      <family val="2"/>
    </font>
    <font>
      <sz val="11"/>
      <name val="Aptos Narrow"/>
      <family val="2"/>
      <scheme val="minor"/>
    </font>
    <font>
      <b/>
      <sz val="11"/>
      <name val="Calibri"/>
      <family val="2"/>
    </font>
    <font>
      <b/>
      <sz val="11"/>
      <color rgb="FF000000"/>
      <name val="Calibri"/>
      <family val="2"/>
    </font>
    <font>
      <i/>
      <sz val="11"/>
      <color rgb="FF000000"/>
      <name val="Calibri"/>
      <family val="2"/>
    </font>
    <font>
      <b/>
      <sz val="8"/>
      <color theme="1"/>
      <name val="Arial"/>
      <family val="2"/>
    </font>
    <font>
      <sz val="11"/>
      <color theme="1"/>
      <name val="Noto Sans Symbols"/>
    </font>
    <font>
      <b/>
      <u/>
      <sz val="11"/>
      <color theme="1"/>
      <name val="Aptos Narrow"/>
      <family val="2"/>
      <scheme val="minor"/>
    </font>
    <font>
      <sz val="10"/>
      <color theme="1"/>
      <name val="Liberation Sans"/>
    </font>
    <font>
      <b/>
      <sz val="12"/>
      <name val="Calibri"/>
      <family val="2"/>
    </font>
    <font>
      <sz val="11"/>
      <color rgb="FF006100"/>
      <name val="Aptos Narrow"/>
      <family val="2"/>
      <scheme val="minor"/>
    </font>
    <font>
      <b/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C6EFCE"/>
      </patternFill>
    </fill>
    <fill>
      <patternFill patternType="solid">
        <fgColor theme="9" tint="0.79998168889431442"/>
        <bgColor theme="9" tint="0.79998168889431442"/>
      </patternFill>
    </fill>
  </fills>
  <borders count="77">
    <border>
      <left/>
      <right/>
      <top/>
      <bottom/>
      <diagonal/>
    </border>
    <border>
      <left style="medium">
        <color rgb="FFCCCCCC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CCCCCC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13" fillId="2" borderId="0" applyNumberFormat="0" applyBorder="0" applyAlignment="0" applyProtection="0"/>
    <xf numFmtId="0" fontId="16" fillId="0" borderId="0"/>
    <xf numFmtId="0" fontId="26" fillId="5" borderId="0" applyNumberFormat="0" applyBorder="0" applyAlignment="0" applyProtection="0"/>
  </cellStyleXfs>
  <cellXfs count="367">
    <xf numFmtId="0" fontId="0" fillId="0" borderId="0" xfId="0"/>
    <xf numFmtId="42" fontId="0" fillId="0" borderId="0" xfId="0" applyNumberFormat="1"/>
    <xf numFmtId="0" fontId="0" fillId="0" borderId="2" xfId="0" applyBorder="1"/>
    <xf numFmtId="0" fontId="5" fillId="0" borderId="2" xfId="0" applyFont="1" applyBorder="1" applyAlignment="1">
      <alignment vertical="center" wrapText="1"/>
    </xf>
    <xf numFmtId="42" fontId="0" fillId="0" borderId="2" xfId="0" applyNumberFormat="1" applyBorder="1"/>
    <xf numFmtId="0" fontId="5" fillId="0" borderId="4" xfId="0" applyFont="1" applyBorder="1" applyAlignment="1">
      <alignment vertical="center" wrapText="1"/>
    </xf>
    <xf numFmtId="42" fontId="0" fillId="0" borderId="4" xfId="0" applyNumberFormat="1" applyBorder="1"/>
    <xf numFmtId="0" fontId="4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2" fontId="2" fillId="0" borderId="0" xfId="0" applyNumberFormat="1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42" fontId="3" fillId="0" borderId="3" xfId="0" applyNumberFormat="1" applyFont="1" applyBorder="1" applyAlignment="1">
      <alignment horizontal="center" vertical="center" wrapText="1"/>
    </xf>
    <xf numFmtId="42" fontId="4" fillId="0" borderId="3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42" fontId="0" fillId="0" borderId="2" xfId="0" applyNumberFormat="1" applyBorder="1" applyAlignment="1">
      <alignment vertical="center"/>
    </xf>
    <xf numFmtId="42" fontId="0" fillId="0" borderId="4" xfId="0" applyNumberFormat="1" applyBorder="1" applyAlignment="1">
      <alignment vertical="center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42" fontId="0" fillId="0" borderId="0" xfId="0" applyNumberFormat="1" applyAlignment="1">
      <alignment vertical="center"/>
    </xf>
    <xf numFmtId="4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42" fontId="0" fillId="0" borderId="21" xfId="0" applyNumberFormat="1" applyBorder="1"/>
    <xf numFmtId="0" fontId="0" fillId="0" borderId="22" xfId="0" applyBorder="1" applyAlignment="1">
      <alignment horizontal="center" vertical="center"/>
    </xf>
    <xf numFmtId="0" fontId="0" fillId="0" borderId="23" xfId="0" applyBorder="1"/>
    <xf numFmtId="42" fontId="0" fillId="0" borderId="23" xfId="0" applyNumberFormat="1" applyBorder="1"/>
    <xf numFmtId="42" fontId="0" fillId="0" borderId="24" xfId="0" applyNumberFormat="1" applyBorder="1"/>
    <xf numFmtId="0" fontId="1" fillId="0" borderId="3" xfId="0" applyFont="1" applyBorder="1" applyAlignment="1">
      <alignment horizontal="center" vertical="center"/>
    </xf>
    <xf numFmtId="0" fontId="0" fillId="0" borderId="24" xfId="0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40" xfId="0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2" fillId="0" borderId="38" xfId="0" applyFont="1" applyBorder="1" applyAlignment="1">
      <alignment vertical="center" wrapText="1"/>
    </xf>
    <xf numFmtId="0" fontId="2" fillId="0" borderId="37" xfId="0" applyFont="1" applyBorder="1" applyAlignment="1">
      <alignment vertical="center" wrapText="1"/>
    </xf>
    <xf numFmtId="0" fontId="5" fillId="0" borderId="37" xfId="0" applyFont="1" applyBorder="1" applyAlignment="1">
      <alignment vertical="center" wrapText="1"/>
    </xf>
    <xf numFmtId="0" fontId="2" fillId="0" borderId="39" xfId="0" applyFont="1" applyBorder="1" applyAlignment="1">
      <alignment vertical="center" wrapText="1"/>
    </xf>
    <xf numFmtId="0" fontId="2" fillId="0" borderId="20" xfId="0" applyFont="1" applyBorder="1" applyAlignment="1">
      <alignment vertical="center" wrapText="1"/>
    </xf>
    <xf numFmtId="42" fontId="0" fillId="0" borderId="0" xfId="0" applyNumberFormat="1" applyAlignment="1">
      <alignment wrapText="1"/>
    </xf>
    <xf numFmtId="42" fontId="0" fillId="0" borderId="25" xfId="0" applyNumberFormat="1" applyBorder="1"/>
    <xf numFmtId="0" fontId="0" fillId="0" borderId="4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4" fillId="0" borderId="14" xfId="0" applyFont="1" applyBorder="1" applyAlignment="1">
      <alignment horizontal="center" vertical="center" wrapText="1"/>
    </xf>
    <xf numFmtId="0" fontId="10" fillId="0" borderId="0" xfId="0" applyFont="1"/>
    <xf numFmtId="42" fontId="10" fillId="0" borderId="0" xfId="0" applyNumberFormat="1" applyFont="1"/>
    <xf numFmtId="0" fontId="7" fillId="0" borderId="1" xfId="0" applyFont="1" applyBorder="1" applyAlignment="1">
      <alignment vertical="center"/>
    </xf>
    <xf numFmtId="0" fontId="11" fillId="0" borderId="23" xfId="0" applyFont="1" applyBorder="1" applyAlignment="1">
      <alignment horizontal="left" vertical="top" wrapText="1"/>
    </xf>
    <xf numFmtId="42" fontId="3" fillId="0" borderId="14" xfId="0" applyNumberFormat="1" applyFont="1" applyBorder="1" applyAlignment="1">
      <alignment horizontal="center" vertical="center" wrapText="1"/>
    </xf>
    <xf numFmtId="42" fontId="2" fillId="0" borderId="25" xfId="0" applyNumberFormat="1" applyFont="1" applyBorder="1" applyAlignment="1">
      <alignment vertical="center" wrapText="1"/>
    </xf>
    <xf numFmtId="42" fontId="5" fillId="0" borderId="0" xfId="0" applyNumberFormat="1" applyFont="1" applyAlignment="1">
      <alignment vertical="center"/>
    </xf>
    <xf numFmtId="0" fontId="2" fillId="0" borderId="25" xfId="0" applyFont="1" applyBorder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0" borderId="25" xfId="0" applyBorder="1"/>
    <xf numFmtId="0" fontId="1" fillId="0" borderId="0" xfId="0" applyFont="1" applyAlignment="1">
      <alignment horizontal="left" vertical="center"/>
    </xf>
    <xf numFmtId="0" fontId="1" fillId="0" borderId="0" xfId="0" applyFont="1"/>
    <xf numFmtId="0" fontId="4" fillId="0" borderId="41" xfId="0" applyFont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vertical="center"/>
    </xf>
    <xf numFmtId="42" fontId="2" fillId="0" borderId="0" xfId="0" applyNumberFormat="1" applyFont="1" applyAlignment="1">
      <alignment vertical="center"/>
    </xf>
    <xf numFmtId="0" fontId="2" fillId="0" borderId="4" xfId="0" applyFont="1" applyBorder="1" applyAlignment="1">
      <alignment horizontal="center" vertical="center"/>
    </xf>
    <xf numFmtId="165" fontId="2" fillId="0" borderId="4" xfId="0" applyNumberFormat="1" applyFont="1" applyBorder="1" applyAlignment="1">
      <alignment vertical="center"/>
    </xf>
    <xf numFmtId="42" fontId="2" fillId="0" borderId="4" xfId="0" applyNumberFormat="1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12" fillId="0" borderId="0" xfId="0" applyFont="1"/>
    <xf numFmtId="0" fontId="12" fillId="0" borderId="0" xfId="0" applyFont="1" applyAlignment="1">
      <alignment wrapText="1"/>
    </xf>
    <xf numFmtId="42" fontId="12" fillId="0" borderId="0" xfId="0" applyNumberFormat="1" applyFont="1" applyAlignment="1">
      <alignment wrapText="1"/>
    </xf>
    <xf numFmtId="42" fontId="4" fillId="0" borderId="27" xfId="0" applyNumberFormat="1" applyFont="1" applyBorder="1" applyAlignment="1">
      <alignment horizontal="center" vertical="center" wrapText="1"/>
    </xf>
    <xf numFmtId="42" fontId="12" fillId="0" borderId="0" xfId="0" applyNumberFormat="1" applyFont="1" applyAlignment="1">
      <alignment vertical="center" wrapTex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wrapText="1"/>
    </xf>
    <xf numFmtId="0" fontId="5" fillId="0" borderId="0" xfId="0" applyFont="1" applyAlignment="1">
      <alignment vertical="center" wrapText="1"/>
    </xf>
    <xf numFmtId="42" fontId="4" fillId="0" borderId="6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4" xfId="0" applyBorder="1" applyAlignment="1">
      <alignment vertical="center" wrapText="1"/>
    </xf>
    <xf numFmtId="0" fontId="0" fillId="0" borderId="2" xfId="0" applyBorder="1" applyAlignment="1">
      <alignment vertical="top" wrapText="1"/>
    </xf>
    <xf numFmtId="0" fontId="0" fillId="0" borderId="23" xfId="0" applyBorder="1" applyAlignment="1">
      <alignment vertical="top" wrapText="1"/>
    </xf>
    <xf numFmtId="0" fontId="0" fillId="0" borderId="19" xfId="0" applyBorder="1" applyAlignment="1">
      <alignment vertical="center" wrapText="1"/>
    </xf>
    <xf numFmtId="0" fontId="0" fillId="0" borderId="48" xfId="0" applyBorder="1" applyAlignment="1">
      <alignment vertical="center" wrapText="1"/>
    </xf>
    <xf numFmtId="0" fontId="0" fillId="0" borderId="49" xfId="0" applyBorder="1" applyAlignment="1">
      <alignment vertical="center" wrapText="1"/>
    </xf>
    <xf numFmtId="42" fontId="1" fillId="0" borderId="3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165" fontId="2" fillId="0" borderId="0" xfId="0" applyNumberFormat="1" applyFont="1" applyAlignment="1">
      <alignment vertical="center" wrapText="1"/>
    </xf>
    <xf numFmtId="165" fontId="0" fillId="0" borderId="0" xfId="0" applyNumberFormat="1"/>
    <xf numFmtId="165" fontId="0" fillId="0" borderId="2" xfId="0" applyNumberFormat="1" applyBorder="1"/>
    <xf numFmtId="165" fontId="0" fillId="0" borderId="4" xfId="0" applyNumberFormat="1" applyBorder="1"/>
    <xf numFmtId="165" fontId="1" fillId="0" borderId="3" xfId="0" applyNumberFormat="1" applyFont="1" applyBorder="1" applyAlignment="1">
      <alignment horizontal="center" vertical="center" wrapText="1"/>
    </xf>
    <xf numFmtId="42" fontId="2" fillId="0" borderId="51" xfId="0" applyNumberFormat="1" applyFont="1" applyBorder="1" applyAlignment="1">
      <alignment vertical="center"/>
    </xf>
    <xf numFmtId="42" fontId="2" fillId="0" borderId="52" xfId="0" applyNumberFormat="1" applyFont="1" applyBorder="1" applyAlignment="1">
      <alignment vertical="center"/>
    </xf>
    <xf numFmtId="165" fontId="3" fillId="0" borderId="3" xfId="0" applyNumberFormat="1" applyFont="1" applyBorder="1" applyAlignment="1">
      <alignment horizontal="center" vertical="center" wrapText="1"/>
    </xf>
    <xf numFmtId="165" fontId="0" fillId="0" borderId="0" xfId="0" applyNumberFormat="1" applyAlignment="1">
      <alignment wrapText="1"/>
    </xf>
    <xf numFmtId="0" fontId="4" fillId="0" borderId="28" xfId="0" applyFont="1" applyBorder="1" applyAlignment="1">
      <alignment horizontal="center" vertical="center" shrinkToFit="1"/>
    </xf>
    <xf numFmtId="42" fontId="4" fillId="0" borderId="31" xfId="0" applyNumberFormat="1" applyFont="1" applyBorder="1" applyAlignment="1">
      <alignment horizontal="center" vertical="center" shrinkToFit="1"/>
    </xf>
    <xf numFmtId="0" fontId="4" fillId="0" borderId="11" xfId="0" applyFont="1" applyBorder="1" applyAlignment="1">
      <alignment vertical="center" shrinkToFit="1"/>
    </xf>
    <xf numFmtId="0" fontId="4" fillId="0" borderId="8" xfId="0" applyFont="1" applyBorder="1" applyAlignment="1">
      <alignment vertical="center" shrinkToFit="1"/>
    </xf>
    <xf numFmtId="0" fontId="4" fillId="0" borderId="13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left" vertical="center"/>
    </xf>
    <xf numFmtId="42" fontId="2" fillId="0" borderId="38" xfId="0" applyNumberFormat="1" applyFont="1" applyBorder="1" applyAlignment="1">
      <alignment vertical="center"/>
    </xf>
    <xf numFmtId="1" fontId="0" fillId="0" borderId="0" xfId="0" applyNumberFormat="1"/>
    <xf numFmtId="165" fontId="2" fillId="0" borderId="25" xfId="0" applyNumberFormat="1" applyFont="1" applyBorder="1" applyAlignment="1">
      <alignment vertical="center" wrapText="1"/>
    </xf>
    <xf numFmtId="165" fontId="3" fillId="0" borderId="14" xfId="0" applyNumberFormat="1" applyFont="1" applyBorder="1" applyAlignment="1">
      <alignment horizontal="center" vertical="center" wrapText="1"/>
    </xf>
    <xf numFmtId="165" fontId="2" fillId="0" borderId="0" xfId="0" applyNumberFormat="1" applyFont="1" applyAlignment="1">
      <alignment vertical="center"/>
    </xf>
    <xf numFmtId="165" fontId="6" fillId="0" borderId="2" xfId="0" applyNumberFormat="1" applyFont="1" applyBorder="1"/>
    <xf numFmtId="0" fontId="1" fillId="0" borderId="44" xfId="0" applyFont="1" applyBorder="1" applyAlignment="1">
      <alignment horizontal="center" vertical="center" wrapText="1"/>
    </xf>
    <xf numFmtId="42" fontId="11" fillId="0" borderId="22" xfId="0" applyNumberFormat="1" applyFont="1" applyBorder="1" applyAlignment="1">
      <alignment horizontal="left" vertical="top" wrapText="1"/>
    </xf>
    <xf numFmtId="42" fontId="3" fillId="0" borderId="13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2" xfId="0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2" fillId="0" borderId="4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center" vertical="center"/>
    </xf>
    <xf numFmtId="0" fontId="18" fillId="0" borderId="53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/>
    </xf>
    <xf numFmtId="0" fontId="0" fillId="0" borderId="51" xfId="0" applyBorder="1" applyAlignment="1">
      <alignment vertical="center" wrapText="1"/>
    </xf>
    <xf numFmtId="0" fontId="0" fillId="0" borderId="54" xfId="0" applyBorder="1" applyAlignment="1">
      <alignment vertical="center" wrapText="1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1" fillId="0" borderId="43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 wrapText="1"/>
    </xf>
    <xf numFmtId="0" fontId="0" fillId="0" borderId="21" xfId="0" applyBorder="1" applyAlignment="1">
      <alignment horizontal="left" vertical="center" wrapText="1"/>
    </xf>
    <xf numFmtId="0" fontId="0" fillId="0" borderId="23" xfId="0" applyBorder="1" applyAlignment="1">
      <alignment horizontal="left"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vertical="center"/>
    </xf>
    <xf numFmtId="0" fontId="0" fillId="0" borderId="21" xfId="0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2" fillId="0" borderId="21" xfId="0" applyFont="1" applyBorder="1" applyAlignment="1">
      <alignment horizontal="left" vertical="center" wrapText="1"/>
    </xf>
    <xf numFmtId="0" fontId="0" fillId="0" borderId="21" xfId="0" applyBorder="1"/>
    <xf numFmtId="0" fontId="0" fillId="0" borderId="24" xfId="0" applyBorder="1"/>
    <xf numFmtId="0" fontId="0" fillId="0" borderId="21" xfId="0" applyBorder="1" applyAlignment="1">
      <alignment wrapText="1"/>
    </xf>
    <xf numFmtId="0" fontId="0" fillId="0" borderId="20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2" fillId="0" borderId="19" xfId="0" applyFont="1" applyBorder="1" applyAlignment="1">
      <alignment horizontal="left" vertical="center" wrapText="1"/>
    </xf>
    <xf numFmtId="0" fontId="0" fillId="0" borderId="50" xfId="0" applyBorder="1" applyAlignment="1">
      <alignment horizontal="center" vertical="center"/>
    </xf>
    <xf numFmtId="42" fontId="12" fillId="0" borderId="0" xfId="0" applyNumberFormat="1" applyFont="1" applyAlignment="1">
      <alignment vertical="center"/>
    </xf>
    <xf numFmtId="42" fontId="12" fillId="0" borderId="21" xfId="0" applyNumberFormat="1" applyFont="1" applyBorder="1" applyAlignment="1">
      <alignment vertical="center"/>
    </xf>
    <xf numFmtId="42" fontId="12" fillId="0" borderId="24" xfId="0" applyNumberFormat="1" applyFont="1" applyBorder="1" applyAlignment="1">
      <alignment vertical="center"/>
    </xf>
    <xf numFmtId="42" fontId="12" fillId="0" borderId="19" xfId="0" applyNumberFormat="1" applyFont="1" applyBorder="1" applyAlignment="1">
      <alignment vertical="center"/>
    </xf>
    <xf numFmtId="0" fontId="0" fillId="0" borderId="4" xfId="0" applyBorder="1" applyAlignment="1">
      <alignment horizontal="center" vertical="center" wrapText="1"/>
    </xf>
    <xf numFmtId="42" fontId="0" fillId="0" borderId="4" xfId="0" applyNumberFormat="1" applyBorder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left" vertical="center" wrapText="1"/>
    </xf>
    <xf numFmtId="0" fontId="21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42" fontId="2" fillId="0" borderId="0" xfId="0" applyNumberFormat="1" applyFont="1"/>
    <xf numFmtId="0" fontId="0" fillId="0" borderId="0" xfId="0" applyAlignment="1">
      <alignment horizontal="left" wrapText="1"/>
    </xf>
    <xf numFmtId="0" fontId="0" fillId="0" borderId="0" xfId="0" applyAlignment="1">
      <alignment vertical="center" wrapText="1"/>
    </xf>
    <xf numFmtId="165" fontId="0" fillId="0" borderId="2" xfId="0" applyNumberFormat="1" applyBorder="1" applyAlignment="1">
      <alignment wrapText="1"/>
    </xf>
    <xf numFmtId="42" fontId="0" fillId="0" borderId="2" xfId="0" applyNumberFormat="1" applyBorder="1" applyAlignment="1">
      <alignment wrapText="1"/>
    </xf>
    <xf numFmtId="165" fontId="0" fillId="0" borderId="4" xfId="0" applyNumberFormat="1" applyBorder="1" applyAlignment="1">
      <alignment wrapText="1"/>
    </xf>
    <xf numFmtId="0" fontId="24" fillId="0" borderId="57" xfId="0" applyFont="1" applyBorder="1" applyAlignment="1">
      <alignment wrapText="1"/>
    </xf>
    <xf numFmtId="0" fontId="24" fillId="4" borderId="57" xfId="0" applyFont="1" applyFill="1" applyBorder="1" applyAlignment="1">
      <alignment wrapText="1"/>
    </xf>
    <xf numFmtId="2" fontId="24" fillId="3" borderId="57" xfId="0" applyNumberFormat="1" applyFont="1" applyFill="1" applyBorder="1" applyAlignment="1">
      <alignment horizontal="right" wrapText="1"/>
    </xf>
    <xf numFmtId="2" fontId="24" fillId="4" borderId="57" xfId="0" applyNumberFormat="1" applyFont="1" applyFill="1" applyBorder="1" applyAlignment="1">
      <alignment horizontal="right" wrapText="1"/>
    </xf>
    <xf numFmtId="2" fontId="0" fillId="0" borderId="0" xfId="0" applyNumberFormat="1"/>
    <xf numFmtId="166" fontId="2" fillId="0" borderId="0" xfId="0" applyNumberFormat="1" applyFont="1" applyAlignment="1">
      <alignment vertical="center" wrapText="1"/>
    </xf>
    <xf numFmtId="166" fontId="0" fillId="0" borderId="0" xfId="0" applyNumberFormat="1"/>
    <xf numFmtId="42" fontId="0" fillId="0" borderId="21" xfId="0" applyNumberFormat="1" applyBorder="1" applyAlignment="1">
      <alignment vertical="center"/>
    </xf>
    <xf numFmtId="0" fontId="0" fillId="0" borderId="62" xfId="0" applyBorder="1" applyAlignment="1">
      <alignment horizontal="center" vertical="center"/>
    </xf>
    <xf numFmtId="42" fontId="0" fillId="0" borderId="50" xfId="0" applyNumberFormat="1" applyBorder="1"/>
    <xf numFmtId="42" fontId="0" fillId="0" borderId="55" xfId="0" applyNumberFormat="1" applyBorder="1"/>
    <xf numFmtId="42" fontId="0" fillId="0" borderId="19" xfId="0" applyNumberFormat="1" applyBorder="1"/>
    <xf numFmtId="0" fontId="5" fillId="0" borderId="65" xfId="0" applyFont="1" applyBorder="1" applyAlignment="1">
      <alignment vertical="center" wrapText="1"/>
    </xf>
    <xf numFmtId="0" fontId="5" fillId="0" borderId="5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50" xfId="0" applyFont="1" applyBorder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165" fontId="0" fillId="0" borderId="2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vertical="center"/>
    </xf>
    <xf numFmtId="42" fontId="3" fillId="0" borderId="0" xfId="0" applyNumberFormat="1" applyFont="1" applyAlignment="1">
      <alignment horizontal="center" vertical="center" wrapText="1"/>
    </xf>
    <xf numFmtId="0" fontId="4" fillId="0" borderId="59" xfId="0" applyFont="1" applyBorder="1" applyAlignment="1">
      <alignment vertical="center" wrapText="1"/>
    </xf>
    <xf numFmtId="42" fontId="3" fillId="0" borderId="68" xfId="0" applyNumberFormat="1" applyFont="1" applyBorder="1" applyAlignment="1">
      <alignment horizontal="center" vertical="center" wrapText="1"/>
    </xf>
    <xf numFmtId="0" fontId="0" fillId="0" borderId="59" xfId="0" applyBorder="1" applyAlignment="1">
      <alignment horizontal="center" vertical="center"/>
    </xf>
    <xf numFmtId="0" fontId="5" fillId="0" borderId="60" xfId="0" applyFont="1" applyBorder="1" applyAlignment="1">
      <alignment vertical="center" wrapText="1"/>
    </xf>
    <xf numFmtId="42" fontId="0" fillId="0" borderId="60" xfId="0" applyNumberFormat="1" applyBorder="1" applyAlignment="1">
      <alignment vertical="center"/>
    </xf>
    <xf numFmtId="42" fontId="0" fillId="0" borderId="67" xfId="0" applyNumberFormat="1" applyBorder="1" applyAlignment="1">
      <alignment vertical="center"/>
    </xf>
    <xf numFmtId="42" fontId="0" fillId="0" borderId="69" xfId="0" applyNumberFormat="1" applyBorder="1" applyAlignment="1">
      <alignment vertical="center"/>
    </xf>
    <xf numFmtId="42" fontId="0" fillId="0" borderId="61" xfId="0" applyNumberFormat="1" applyBorder="1" applyAlignment="1">
      <alignment vertical="center"/>
    </xf>
    <xf numFmtId="0" fontId="5" fillId="0" borderId="15" xfId="0" applyFont="1" applyBorder="1" applyAlignment="1">
      <alignment vertical="center" wrapText="1"/>
    </xf>
    <xf numFmtId="42" fontId="0" fillId="0" borderId="37" xfId="0" applyNumberFormat="1" applyBorder="1" applyAlignment="1">
      <alignment vertical="center"/>
    </xf>
    <xf numFmtId="0" fontId="0" fillId="0" borderId="70" xfId="0" applyBorder="1" applyAlignment="1">
      <alignment horizontal="center" vertical="center"/>
    </xf>
    <xf numFmtId="0" fontId="5" fillId="0" borderId="66" xfId="0" applyFont="1" applyBorder="1" applyAlignment="1">
      <alignment vertical="center" wrapText="1"/>
    </xf>
    <xf numFmtId="164" fontId="2" fillId="0" borderId="0" xfId="0" applyNumberFormat="1" applyFont="1" applyAlignment="1">
      <alignment horizontal="right" vertical="center" wrapText="1"/>
    </xf>
    <xf numFmtId="165" fontId="2" fillId="0" borderId="4" xfId="0" applyNumberFormat="1" applyFont="1" applyBorder="1" applyAlignment="1">
      <alignment horizontal="right" vertical="center" wrapText="1"/>
    </xf>
    <xf numFmtId="165" fontId="2" fillId="0" borderId="2" xfId="0" applyNumberFormat="1" applyFont="1" applyBorder="1" applyAlignment="1">
      <alignment horizontal="right" vertical="center" wrapText="1"/>
    </xf>
    <xf numFmtId="165" fontId="2" fillId="0" borderId="2" xfId="0" applyNumberFormat="1" applyFont="1" applyBorder="1" applyAlignment="1">
      <alignment horizontal="right" vertical="center"/>
    </xf>
    <xf numFmtId="165" fontId="5" fillId="0" borderId="2" xfId="0" applyNumberFormat="1" applyFont="1" applyBorder="1" applyAlignment="1">
      <alignment horizontal="right" vertical="center"/>
    </xf>
    <xf numFmtId="42" fontId="2" fillId="0" borderId="71" xfId="0" applyNumberFormat="1" applyFont="1" applyBorder="1" applyAlignment="1">
      <alignment vertical="center"/>
    </xf>
    <xf numFmtId="0" fontId="25" fillId="0" borderId="14" xfId="0" applyFont="1" applyBorder="1" applyAlignment="1">
      <alignment horizontal="center" vertical="center" wrapText="1"/>
    </xf>
    <xf numFmtId="0" fontId="17" fillId="0" borderId="2" xfId="0" applyFont="1" applyBorder="1"/>
    <xf numFmtId="0" fontId="17" fillId="0" borderId="2" xfId="1" applyFont="1" applyFill="1" applyBorder="1"/>
    <xf numFmtId="165" fontId="5" fillId="0" borderId="50" xfId="0" applyNumberFormat="1" applyFont="1" applyBorder="1" applyAlignment="1">
      <alignment horizontal="right" vertical="center"/>
    </xf>
    <xf numFmtId="165" fontId="0" fillId="0" borderId="2" xfId="0" applyNumberFormat="1" applyBorder="1" applyAlignment="1">
      <alignment horizontal="right" wrapText="1"/>
    </xf>
    <xf numFmtId="0" fontId="17" fillId="0" borderId="2" xfId="0" applyFont="1" applyBorder="1" applyAlignment="1">
      <alignment wrapText="1"/>
    </xf>
    <xf numFmtId="0" fontId="17" fillId="0" borderId="2" xfId="1" applyFont="1" applyFill="1" applyBorder="1" applyAlignment="1">
      <alignment wrapText="1"/>
    </xf>
    <xf numFmtId="0" fontId="25" fillId="0" borderId="0" xfId="0" applyFont="1" applyAlignment="1">
      <alignment vertical="center"/>
    </xf>
    <xf numFmtId="0" fontId="16" fillId="0" borderId="0" xfId="0" applyFont="1"/>
    <xf numFmtId="165" fontId="16" fillId="0" borderId="0" xfId="0" applyNumberFormat="1" applyFont="1" applyAlignment="1">
      <alignment vertical="center"/>
    </xf>
    <xf numFmtId="42" fontId="16" fillId="0" borderId="37" xfId="0" applyNumberFormat="1" applyFont="1" applyBorder="1" applyAlignment="1">
      <alignment vertical="center"/>
    </xf>
    <xf numFmtId="42" fontId="16" fillId="0" borderId="2" xfId="0" applyNumberFormat="1" applyFont="1" applyBorder="1" applyAlignment="1">
      <alignment vertical="center"/>
    </xf>
    <xf numFmtId="0" fontId="16" fillId="0" borderId="0" xfId="0" applyFont="1" applyAlignment="1">
      <alignment vertical="center"/>
    </xf>
    <xf numFmtId="0" fontId="16" fillId="0" borderId="2" xfId="0" applyFont="1" applyBorder="1" applyAlignment="1">
      <alignment horizontal="center" vertical="center"/>
    </xf>
    <xf numFmtId="165" fontId="17" fillId="0" borderId="2" xfId="3" applyNumberFormat="1" applyFont="1" applyFill="1" applyBorder="1"/>
    <xf numFmtId="165" fontId="16" fillId="0" borderId="4" xfId="0" applyNumberFormat="1" applyFont="1" applyBorder="1" applyAlignment="1">
      <alignment vertical="center"/>
    </xf>
    <xf numFmtId="165" fontId="17" fillId="0" borderId="2" xfId="1" applyNumberFormat="1" applyFont="1" applyFill="1" applyBorder="1"/>
    <xf numFmtId="42" fontId="16" fillId="0" borderId="0" xfId="0" applyNumberFormat="1" applyFont="1" applyAlignment="1">
      <alignment vertical="center"/>
    </xf>
    <xf numFmtId="0" fontId="18" fillId="0" borderId="3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 wrapText="1"/>
    </xf>
    <xf numFmtId="165" fontId="18" fillId="0" borderId="3" xfId="0" applyNumberFormat="1" applyFont="1" applyBorder="1" applyAlignment="1">
      <alignment horizontal="center" vertical="center" wrapText="1"/>
    </xf>
    <xf numFmtId="42" fontId="18" fillId="0" borderId="3" xfId="0" applyNumberFormat="1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/>
    </xf>
    <xf numFmtId="42" fontId="16" fillId="0" borderId="4" xfId="0" applyNumberFormat="1" applyFont="1" applyBorder="1" applyAlignment="1">
      <alignment vertical="center"/>
    </xf>
    <xf numFmtId="0" fontId="27" fillId="0" borderId="0" xfId="0" applyFont="1" applyAlignment="1">
      <alignment horizontal="left" vertical="center"/>
    </xf>
    <xf numFmtId="0" fontId="17" fillId="0" borderId="0" xfId="0" applyFont="1"/>
    <xf numFmtId="165" fontId="17" fillId="0" borderId="0" xfId="0" applyNumberFormat="1" applyFont="1"/>
    <xf numFmtId="42" fontId="17" fillId="0" borderId="0" xfId="0" applyNumberFormat="1" applyFont="1"/>
    <xf numFmtId="0" fontId="17" fillId="0" borderId="0" xfId="0" applyFont="1" applyAlignment="1">
      <alignment horizontal="left" vertical="center"/>
    </xf>
    <xf numFmtId="0" fontId="27" fillId="0" borderId="3" xfId="0" applyFont="1" applyBorder="1" applyAlignment="1">
      <alignment horizontal="center" vertical="center" wrapText="1"/>
    </xf>
    <xf numFmtId="42" fontId="27" fillId="0" borderId="58" xfId="0" applyNumberFormat="1" applyFont="1" applyBorder="1" applyAlignment="1">
      <alignment horizontal="center" vertical="center" wrapText="1"/>
    </xf>
    <xf numFmtId="42" fontId="27" fillId="0" borderId="47" xfId="0" applyNumberFormat="1" applyFont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/>
    </xf>
    <xf numFmtId="165" fontId="17" fillId="0" borderId="2" xfId="0" applyNumberFormat="1" applyFont="1" applyBorder="1"/>
    <xf numFmtId="42" fontId="17" fillId="0" borderId="37" xfId="0" applyNumberFormat="1" applyFont="1" applyBorder="1" applyAlignment="1">
      <alignment vertical="center"/>
    </xf>
    <xf numFmtId="42" fontId="17" fillId="0" borderId="21" xfId="0" applyNumberFormat="1" applyFont="1" applyBorder="1" applyAlignment="1">
      <alignment vertical="center"/>
    </xf>
    <xf numFmtId="42" fontId="17" fillId="0" borderId="37" xfId="0" applyNumberFormat="1" applyFont="1" applyBorder="1"/>
    <xf numFmtId="42" fontId="17" fillId="0" borderId="21" xfId="0" applyNumberFormat="1" applyFont="1" applyBorder="1"/>
    <xf numFmtId="42" fontId="17" fillId="0" borderId="39" xfId="0" applyNumberFormat="1" applyFont="1" applyBorder="1"/>
    <xf numFmtId="42" fontId="17" fillId="0" borderId="24" xfId="0" applyNumberFormat="1" applyFont="1" applyBorder="1"/>
    <xf numFmtId="165" fontId="17" fillId="0" borderId="4" xfId="0" applyNumberFormat="1" applyFont="1" applyBorder="1"/>
    <xf numFmtId="166" fontId="27" fillId="0" borderId="3" xfId="0" applyNumberFormat="1" applyFont="1" applyBorder="1" applyAlignment="1">
      <alignment horizontal="center" vertical="center" wrapText="1"/>
    </xf>
    <xf numFmtId="42" fontId="27" fillId="0" borderId="3" xfId="0" applyNumberFormat="1" applyFont="1" applyBorder="1" applyAlignment="1">
      <alignment horizontal="center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12" fillId="0" borderId="20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left" vertical="center" wrapText="1"/>
    </xf>
    <xf numFmtId="42" fontId="12" fillId="0" borderId="21" xfId="0" applyNumberFormat="1" applyFont="1" applyBorder="1" applyAlignment="1">
      <alignment vertical="center" shrinkToFit="1"/>
    </xf>
    <xf numFmtId="42" fontId="12" fillId="0" borderId="21" xfId="0" applyNumberFormat="1" applyFont="1" applyBorder="1" applyAlignment="1">
      <alignment horizontal="center" vertical="center" shrinkToFit="1"/>
    </xf>
    <xf numFmtId="42" fontId="12" fillId="0" borderId="24" xfId="0" applyNumberFormat="1" applyFont="1" applyBorder="1" applyAlignment="1">
      <alignment vertical="center" shrinkToFit="1"/>
    </xf>
    <xf numFmtId="0" fontId="0" fillId="6" borderId="72" xfId="0" applyFill="1" applyBorder="1"/>
    <xf numFmtId="0" fontId="0" fillId="0" borderId="72" xfId="0" applyBorder="1"/>
    <xf numFmtId="0" fontId="0" fillId="0" borderId="66" xfId="0" applyBorder="1" applyAlignment="1">
      <alignment horizontal="center" vertical="center"/>
    </xf>
    <xf numFmtId="0" fontId="5" fillId="0" borderId="38" xfId="0" applyFont="1" applyBorder="1" applyAlignment="1">
      <alignment vertical="center" wrapText="1"/>
    </xf>
    <xf numFmtId="0" fontId="17" fillId="0" borderId="4" xfId="0" applyFont="1" applyBorder="1"/>
    <xf numFmtId="0" fontId="17" fillId="0" borderId="0" xfId="0" applyFont="1" applyAlignment="1">
      <alignment wrapText="1"/>
    </xf>
    <xf numFmtId="0" fontId="12" fillId="0" borderId="2" xfId="0" applyFont="1" applyBorder="1" applyAlignment="1">
      <alignment vertical="center" wrapText="1"/>
    </xf>
    <xf numFmtId="0" fontId="4" fillId="0" borderId="73" xfId="0" applyFont="1" applyBorder="1" applyAlignment="1">
      <alignment horizontal="center" vertical="center" wrapText="1"/>
    </xf>
    <xf numFmtId="0" fontId="12" fillId="0" borderId="45" xfId="0" applyFont="1" applyBorder="1" applyAlignment="1">
      <alignment horizontal="center" vertical="center" wrapText="1"/>
    </xf>
    <xf numFmtId="0" fontId="12" fillId="0" borderId="46" xfId="0" applyFont="1" applyBorder="1" applyAlignment="1">
      <alignment vertical="center" wrapText="1"/>
    </xf>
    <xf numFmtId="0" fontId="12" fillId="0" borderId="23" xfId="0" applyFont="1" applyBorder="1" applyAlignment="1">
      <alignment vertical="center" wrapText="1"/>
    </xf>
    <xf numFmtId="0" fontId="4" fillId="0" borderId="74" xfId="0" applyFont="1" applyBorder="1" applyAlignment="1">
      <alignment horizontal="center" vertical="center" wrapText="1"/>
    </xf>
    <xf numFmtId="42" fontId="0" fillId="0" borderId="23" xfId="0" applyNumberFormat="1" applyBorder="1" applyAlignment="1">
      <alignment vertical="center"/>
    </xf>
    <xf numFmtId="42" fontId="0" fillId="0" borderId="24" xfId="0" applyNumberFormat="1" applyBorder="1" applyAlignment="1">
      <alignment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vertical="center" wrapText="1"/>
    </xf>
    <xf numFmtId="0" fontId="0" fillId="0" borderId="47" xfId="0" applyBorder="1" applyAlignment="1">
      <alignment vertical="center" wrapText="1"/>
    </xf>
    <xf numFmtId="165" fontId="0" fillId="0" borderId="2" xfId="0" quotePrefix="1" applyNumberFormat="1" applyBorder="1" applyAlignment="1">
      <alignment horizontal="center"/>
    </xf>
    <xf numFmtId="0" fontId="2" fillId="0" borderId="71" xfId="0" applyFont="1" applyBorder="1" applyAlignment="1">
      <alignment vertical="center" wrapText="1"/>
    </xf>
    <xf numFmtId="165" fontId="0" fillId="0" borderId="51" xfId="0" applyNumberFormat="1" applyBorder="1" applyAlignment="1">
      <alignment wrapText="1"/>
    </xf>
    <xf numFmtId="0" fontId="0" fillId="0" borderId="50" xfId="0" applyBorder="1" applyAlignment="1">
      <alignment horizontal="left" vertical="center"/>
    </xf>
    <xf numFmtId="0" fontId="0" fillId="0" borderId="50" xfId="0" applyBorder="1"/>
    <xf numFmtId="0" fontId="0" fillId="0" borderId="55" xfId="0" applyBorder="1" applyAlignment="1">
      <alignment horizontal="left" vertical="top" wrapText="1"/>
    </xf>
    <xf numFmtId="0" fontId="0" fillId="0" borderId="49" xfId="0" applyBorder="1" applyAlignment="1">
      <alignment horizontal="left" vertical="top" wrapText="1"/>
    </xf>
    <xf numFmtId="0" fontId="3" fillId="0" borderId="25" xfId="0" applyFont="1" applyBorder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42" fontId="0" fillId="0" borderId="47" xfId="0" applyNumberFormat="1" applyBorder="1" applyAlignment="1">
      <alignment horizontal="center" vertical="center" wrapText="1"/>
    </xf>
    <xf numFmtId="42" fontId="0" fillId="0" borderId="24" xfId="0" applyNumberForma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42" fontId="0" fillId="0" borderId="19" xfId="0" applyNumberForma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62" xfId="0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42" fontId="0" fillId="0" borderId="55" xfId="0" applyNumberFormat="1" applyBorder="1" applyAlignment="1">
      <alignment horizontal="center" vertical="center" wrapText="1"/>
    </xf>
    <xf numFmtId="42" fontId="12" fillId="0" borderId="55" xfId="0" applyNumberFormat="1" applyFont="1" applyBorder="1" applyAlignment="1">
      <alignment horizontal="center" vertical="center"/>
    </xf>
    <xf numFmtId="42" fontId="12" fillId="0" borderId="19" xfId="0" applyNumberFormat="1" applyFont="1" applyBorder="1" applyAlignment="1">
      <alignment horizontal="center" vertical="center"/>
    </xf>
    <xf numFmtId="0" fontId="12" fillId="0" borderId="50" xfId="0" applyFont="1" applyBorder="1" applyAlignment="1">
      <alignment horizontal="left" vertical="center" wrapText="1"/>
    </xf>
    <xf numFmtId="0" fontId="12" fillId="0" borderId="51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12" fillId="0" borderId="62" xfId="0" applyFont="1" applyBorder="1" applyAlignment="1">
      <alignment horizontal="center" vertical="center" wrapText="1"/>
    </xf>
    <xf numFmtId="0" fontId="12" fillId="0" borderId="70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0" borderId="60" xfId="0" applyFont="1" applyBorder="1" applyAlignment="1">
      <alignment horizontal="left" vertical="center" wrapText="1"/>
    </xf>
    <xf numFmtId="0" fontId="12" fillId="0" borderId="49" xfId="0" applyFont="1" applyBorder="1" applyAlignment="1">
      <alignment horizontal="left" vertical="center" wrapText="1"/>
    </xf>
    <xf numFmtId="0" fontId="4" fillId="0" borderId="25" xfId="0" applyFont="1" applyBorder="1" applyAlignment="1">
      <alignment horizontal="left" vertical="center" shrinkToFit="1"/>
    </xf>
    <xf numFmtId="0" fontId="4" fillId="0" borderId="29" xfId="0" applyFont="1" applyBorder="1" applyAlignment="1">
      <alignment horizontal="center" vertical="center" shrinkToFit="1"/>
    </xf>
    <xf numFmtId="0" fontId="4" fillId="0" borderId="30" xfId="0" applyFont="1" applyBorder="1" applyAlignment="1">
      <alignment horizontal="center" vertical="center" shrinkToFit="1"/>
    </xf>
    <xf numFmtId="0" fontId="4" fillId="0" borderId="32" xfId="0" applyFont="1" applyBorder="1" applyAlignment="1">
      <alignment horizontal="center" vertical="center" shrinkToFit="1"/>
    </xf>
    <xf numFmtId="0" fontId="4" fillId="0" borderId="34" xfId="0" applyFont="1" applyBorder="1" applyAlignment="1">
      <alignment horizontal="center" vertical="center" shrinkToFit="1"/>
    </xf>
    <xf numFmtId="0" fontId="4" fillId="0" borderId="12" xfId="0" applyFont="1" applyBorder="1" applyAlignment="1">
      <alignment vertical="center" shrinkToFit="1"/>
    </xf>
    <xf numFmtId="0" fontId="4" fillId="0" borderId="10" xfId="0" applyFont="1" applyBorder="1" applyAlignment="1">
      <alignment vertical="center" shrinkToFit="1"/>
    </xf>
    <xf numFmtId="0" fontId="4" fillId="0" borderId="33" xfId="0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4" fillId="0" borderId="10" xfId="0" applyFont="1" applyBorder="1" applyAlignment="1">
      <alignment horizontal="left" vertical="center" shrinkToFit="1"/>
    </xf>
    <xf numFmtId="0" fontId="12" fillId="0" borderId="75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shrinkToFit="1"/>
    </xf>
    <xf numFmtId="0" fontId="4" fillId="0" borderId="9" xfId="0" applyFont="1" applyBorder="1" applyAlignment="1">
      <alignment vertical="center" shrinkToFit="1"/>
    </xf>
    <xf numFmtId="0" fontId="4" fillId="0" borderId="36" xfId="0" applyFont="1" applyBorder="1" applyAlignment="1">
      <alignment vertical="center" shrinkToFit="1"/>
    </xf>
    <xf numFmtId="0" fontId="12" fillId="0" borderId="67" xfId="0" applyFont="1" applyBorder="1" applyAlignment="1">
      <alignment horizontal="left" vertical="center" wrapText="1"/>
    </xf>
    <xf numFmtId="0" fontId="12" fillId="0" borderId="71" xfId="0" applyFont="1" applyBorder="1" applyAlignment="1">
      <alignment horizontal="left" vertical="center" wrapText="1"/>
    </xf>
    <xf numFmtId="0" fontId="12" fillId="0" borderId="38" xfId="0" applyFont="1" applyBorder="1" applyAlignment="1">
      <alignment horizontal="left" vertical="center" wrapText="1"/>
    </xf>
    <xf numFmtId="0" fontId="12" fillId="0" borderId="59" xfId="0" applyFont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4" fillId="0" borderId="43" xfId="0" applyFont="1" applyBorder="1" applyAlignment="1">
      <alignment horizontal="center" vertical="center" wrapText="1"/>
    </xf>
    <xf numFmtId="0" fontId="4" fillId="0" borderId="53" xfId="0" applyFont="1" applyBorder="1" applyAlignment="1">
      <alignment horizontal="center" vertical="center" wrapText="1"/>
    </xf>
    <xf numFmtId="0" fontId="5" fillId="0" borderId="50" xfId="0" applyFont="1" applyBorder="1" applyAlignment="1">
      <alignment vertical="center" wrapText="1"/>
    </xf>
    <xf numFmtId="0" fontId="4" fillId="0" borderId="25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56" xfId="0" applyFont="1" applyBorder="1" applyAlignment="1">
      <alignment horizontal="left" vertical="center" wrapText="1"/>
    </xf>
    <xf numFmtId="0" fontId="5" fillId="0" borderId="63" xfId="0" applyFont="1" applyBorder="1" applyAlignment="1">
      <alignment horizontal="left" vertical="center" wrapText="1"/>
    </xf>
    <xf numFmtId="0" fontId="5" fillId="0" borderId="64" xfId="0" applyFont="1" applyBorder="1" applyAlignment="1">
      <alignment horizontal="left" vertical="center" wrapText="1"/>
    </xf>
    <xf numFmtId="0" fontId="5" fillId="0" borderId="23" xfId="0" applyFont="1" applyBorder="1" applyAlignment="1">
      <alignment vertical="center" wrapText="1"/>
    </xf>
    <xf numFmtId="0" fontId="5" fillId="0" borderId="2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center"/>
    </xf>
    <xf numFmtId="0" fontId="23" fillId="0" borderId="0" xfId="0" applyFont="1" applyAlignment="1">
      <alignment horizontal="center" vertical="center"/>
    </xf>
    <xf numFmtId="0" fontId="0" fillId="0" borderId="76" xfId="0" applyBorder="1" applyAlignment="1">
      <alignment horizontal="center" vertical="center"/>
    </xf>
    <xf numFmtId="0" fontId="0" fillId="0" borderId="55" xfId="0" applyBorder="1"/>
  </cellXfs>
  <cellStyles count="4">
    <cellStyle name="Good" xfId="3" builtinId="26"/>
    <cellStyle name="Neutral" xfId="1" builtinId="28"/>
    <cellStyle name="Normal" xfId="0" builtinId="0"/>
    <cellStyle name="Normal 2" xfId="2" xr:uid="{8235C65B-E250-4F51-8AB1-A51F4B0089D6}"/>
  </cellStyles>
  <dxfs count="8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pn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238125</xdr:colOff>
      <xdr:row>2</xdr:row>
      <xdr:rowOff>47625</xdr:rowOff>
    </xdr:from>
    <xdr:to>
      <xdr:col>2</xdr:col>
      <xdr:colOff>2768925</xdr:colOff>
      <xdr:row>3</xdr:row>
      <xdr:rowOff>1487175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B0FF58-A489-17CD-D591-96EC472633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90925" y="447675"/>
          <a:ext cx="2530800" cy="16872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4</xdr:row>
      <xdr:rowOff>47625</xdr:rowOff>
    </xdr:from>
    <xdr:to>
      <xdr:col>2</xdr:col>
      <xdr:colOff>2768925</xdr:colOff>
      <xdr:row>5</xdr:row>
      <xdr:rowOff>1487175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06E586B-5283-89CA-997A-D48EDCBC5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90925" y="2228850"/>
          <a:ext cx="2530800" cy="16872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6</xdr:row>
      <xdr:rowOff>47624</xdr:rowOff>
    </xdr:from>
    <xdr:to>
      <xdr:col>2</xdr:col>
      <xdr:colOff>2767013</xdr:colOff>
      <xdr:row>7</xdr:row>
      <xdr:rowOff>1485899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1E46897-15F2-29B1-9C3B-E7F03DF6A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90925" y="4010024"/>
          <a:ext cx="2528888" cy="1685925"/>
        </a:xfrm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8</xdr:row>
      <xdr:rowOff>47625</xdr:rowOff>
    </xdr:from>
    <xdr:to>
      <xdr:col>2</xdr:col>
      <xdr:colOff>2762250</xdr:colOff>
      <xdr:row>9</xdr:row>
      <xdr:rowOff>1489075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B3E748F-3EFA-5D91-1F39-1A388D9F1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screen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81400" y="5791200"/>
          <a:ext cx="2533650" cy="1689100"/>
        </a:xfrm>
        <a:prstGeom prst="rect">
          <a:avLst/>
        </a:prstGeom>
      </xdr:spPr>
    </xdr:pic>
    <xdr:clientData/>
  </xdr:twoCellAnchor>
  <xdr:twoCellAnchor editAs="oneCell">
    <xdr:from>
      <xdr:col>2</xdr:col>
      <xdr:colOff>333375</xdr:colOff>
      <xdr:row>10</xdr:row>
      <xdr:rowOff>19050</xdr:rowOff>
    </xdr:from>
    <xdr:to>
      <xdr:col>2</xdr:col>
      <xdr:colOff>2676975</xdr:colOff>
      <xdr:row>11</xdr:row>
      <xdr:rowOff>1333800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4418AB1-A0F5-3CA9-6290-6659E03B1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screen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6175" y="7543800"/>
          <a:ext cx="2343600" cy="1562400"/>
        </a:xfrm>
        <a:prstGeom prst="rect">
          <a:avLst/>
        </a:prstGeom>
      </xdr:spPr>
    </xdr:pic>
    <xdr:clientData/>
  </xdr:twoCellAnchor>
  <xdr:twoCellAnchor editAs="oneCell">
    <xdr:from>
      <xdr:col>2</xdr:col>
      <xdr:colOff>352425</xdr:colOff>
      <xdr:row>12</xdr:row>
      <xdr:rowOff>28575</xdr:rowOff>
    </xdr:from>
    <xdr:to>
      <xdr:col>2</xdr:col>
      <xdr:colOff>2696025</xdr:colOff>
      <xdr:row>13</xdr:row>
      <xdr:rowOff>1343325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D29C284-5A51-6B68-27A8-A23AD0AB07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screen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5225" y="9163050"/>
          <a:ext cx="2343600" cy="1562400"/>
        </a:xfrm>
        <a:prstGeom prst="rect">
          <a:avLst/>
        </a:prstGeom>
      </xdr:spPr>
    </xdr:pic>
    <xdr:clientData/>
  </xdr:twoCellAnchor>
  <xdr:twoCellAnchor editAs="oneCell">
    <xdr:from>
      <xdr:col>2</xdr:col>
      <xdr:colOff>352425</xdr:colOff>
      <xdr:row>14</xdr:row>
      <xdr:rowOff>28575</xdr:rowOff>
    </xdr:from>
    <xdr:to>
      <xdr:col>2</xdr:col>
      <xdr:colOff>2696025</xdr:colOff>
      <xdr:row>15</xdr:row>
      <xdr:rowOff>1343325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8BA811F-BD0E-6DF4-5011-AECF61F4F7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screen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5225" y="10772775"/>
          <a:ext cx="2343600" cy="1562400"/>
        </a:xfrm>
        <a:prstGeom prst="rect">
          <a:avLst/>
        </a:prstGeom>
      </xdr:spPr>
    </xdr:pic>
    <xdr:clientData/>
  </xdr:twoCellAnchor>
  <xdr:twoCellAnchor editAs="oneCell">
    <xdr:from>
      <xdr:col>2</xdr:col>
      <xdr:colOff>274399</xdr:colOff>
      <xdr:row>18</xdr:row>
      <xdr:rowOff>19050</xdr:rowOff>
    </xdr:from>
    <xdr:to>
      <xdr:col>2</xdr:col>
      <xdr:colOff>2617999</xdr:colOff>
      <xdr:row>19</xdr:row>
      <xdr:rowOff>1333800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21B95A61-0BD0-2D0A-8D37-C8BED90F4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screen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7721" y="13980351"/>
          <a:ext cx="2343600" cy="1562661"/>
        </a:xfrm>
        <a:prstGeom prst="rect">
          <a:avLst/>
        </a:prstGeom>
      </xdr:spPr>
    </xdr:pic>
    <xdr:clientData/>
  </xdr:twoCellAnchor>
  <xdr:twoCellAnchor editAs="oneCell">
    <xdr:from>
      <xdr:col>2</xdr:col>
      <xdr:colOff>293449</xdr:colOff>
      <xdr:row>24</xdr:row>
      <xdr:rowOff>28575</xdr:rowOff>
    </xdr:from>
    <xdr:to>
      <xdr:col>2</xdr:col>
      <xdr:colOff>2637049</xdr:colOff>
      <xdr:row>25</xdr:row>
      <xdr:rowOff>1343325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C35B7B2F-5636-465D-B588-FCE60D3C9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screen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46771" y="18804568"/>
          <a:ext cx="2343600" cy="1562661"/>
        </a:xfrm>
        <a:prstGeom prst="rect">
          <a:avLst/>
        </a:prstGeom>
      </xdr:spPr>
    </xdr:pic>
    <xdr:clientData/>
  </xdr:twoCellAnchor>
  <xdr:twoCellAnchor editAs="oneCell">
    <xdr:from>
      <xdr:col>2</xdr:col>
      <xdr:colOff>274399</xdr:colOff>
      <xdr:row>22</xdr:row>
      <xdr:rowOff>28575</xdr:rowOff>
    </xdr:from>
    <xdr:to>
      <xdr:col>2</xdr:col>
      <xdr:colOff>2617999</xdr:colOff>
      <xdr:row>23</xdr:row>
      <xdr:rowOff>1343325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E153CC8-B296-8127-392C-C21BBB5D1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screen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7721" y="17199671"/>
          <a:ext cx="2343600" cy="1562661"/>
        </a:xfrm>
        <a:prstGeom prst="rect">
          <a:avLst/>
        </a:prstGeom>
      </xdr:spPr>
    </xdr:pic>
    <xdr:clientData/>
  </xdr:twoCellAnchor>
  <xdr:twoCellAnchor editAs="oneCell">
    <xdr:from>
      <xdr:col>2</xdr:col>
      <xdr:colOff>319545</xdr:colOff>
      <xdr:row>26</xdr:row>
      <xdr:rowOff>19050</xdr:rowOff>
    </xdr:from>
    <xdr:to>
      <xdr:col>2</xdr:col>
      <xdr:colOff>2663145</xdr:colOff>
      <xdr:row>27</xdr:row>
      <xdr:rowOff>1333800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E0B0F743-8A96-1BE5-0CCC-78C373B55B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screen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2867" y="20399940"/>
          <a:ext cx="2343600" cy="1562661"/>
        </a:xfrm>
        <a:prstGeom prst="rect">
          <a:avLst/>
        </a:prstGeom>
      </xdr:spPr>
    </xdr:pic>
    <xdr:clientData/>
  </xdr:twoCellAnchor>
  <xdr:twoCellAnchor editAs="oneCell">
    <xdr:from>
      <xdr:col>2</xdr:col>
      <xdr:colOff>310020</xdr:colOff>
      <xdr:row>28</xdr:row>
      <xdr:rowOff>28575</xdr:rowOff>
    </xdr:from>
    <xdr:to>
      <xdr:col>2</xdr:col>
      <xdr:colOff>2653620</xdr:colOff>
      <xdr:row>29</xdr:row>
      <xdr:rowOff>1343325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16AA9A7-68A5-4AF5-9D19-C82783832B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screen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3342" y="22014363"/>
          <a:ext cx="2343600" cy="1562661"/>
        </a:xfrm>
        <a:prstGeom prst="rect">
          <a:avLst/>
        </a:prstGeom>
      </xdr:spPr>
    </xdr:pic>
    <xdr:clientData/>
  </xdr:twoCellAnchor>
  <xdr:twoCellAnchor editAs="oneCell">
    <xdr:from>
      <xdr:col>2</xdr:col>
      <xdr:colOff>278259</xdr:colOff>
      <xdr:row>20</xdr:row>
      <xdr:rowOff>12414</xdr:rowOff>
    </xdr:from>
    <xdr:to>
      <xdr:col>2</xdr:col>
      <xdr:colOff>2621859</xdr:colOff>
      <xdr:row>21</xdr:row>
      <xdr:rowOff>1328662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821F3AE-674D-682D-97C4-D05FCE2E2A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screen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8062" y="15552077"/>
          <a:ext cx="2343600" cy="1562400"/>
        </a:xfrm>
        <a:prstGeom prst="rect">
          <a:avLst/>
        </a:prstGeom>
      </xdr:spPr>
    </xdr:pic>
    <xdr:clientData/>
  </xdr:twoCellAnchor>
  <xdr:twoCellAnchor editAs="oneCell">
    <xdr:from>
      <xdr:col>2</xdr:col>
      <xdr:colOff>323850</xdr:colOff>
      <xdr:row>16</xdr:row>
      <xdr:rowOff>0</xdr:rowOff>
    </xdr:from>
    <xdr:to>
      <xdr:col>2</xdr:col>
      <xdr:colOff>2695575</xdr:colOff>
      <xdr:row>17</xdr:row>
      <xdr:rowOff>1333500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FFCB2B2-E6B2-5BB6-AAC1-DC1DC80A2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screen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48050" y="12353925"/>
          <a:ext cx="2371725" cy="1581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45A09-7223-4817-8E96-06FF84C06B4B}">
  <sheetPr>
    <pageSetUpPr fitToPage="1"/>
  </sheetPr>
  <dimension ref="A1:D31"/>
  <sheetViews>
    <sheetView showGridLines="0" showRuler="0" view="pageLayout" topLeftCell="A16" zoomScale="68" zoomScaleNormal="100" zoomScalePageLayoutView="68" workbookViewId="0">
      <selection activeCell="D19" sqref="D19:D20"/>
    </sheetView>
  </sheetViews>
  <sheetFormatPr defaultRowHeight="15"/>
  <cols>
    <col min="1" max="1" width="23.85546875" customWidth="1"/>
    <col min="2" max="2" width="23" customWidth="1"/>
    <col min="3" max="3" width="41.42578125" customWidth="1"/>
    <col min="4" max="4" width="15.28515625" customWidth="1"/>
  </cols>
  <sheetData>
    <row r="1" spans="1:4" ht="15.75" thickBot="1"/>
    <row r="2" spans="1:4" ht="15.75" thickBot="1">
      <c r="A2" s="300" t="s">
        <v>443</v>
      </c>
      <c r="B2" s="301"/>
      <c r="C2" s="21" t="s">
        <v>445</v>
      </c>
      <c r="D2" s="21" t="s">
        <v>377</v>
      </c>
    </row>
    <row r="3" spans="1:4" ht="19.899999999999999" customHeight="1">
      <c r="A3" s="302" t="s">
        <v>447</v>
      </c>
      <c r="B3" s="303"/>
      <c r="C3" s="303"/>
      <c r="D3" s="305">
        <v>2800000</v>
      </c>
    </row>
    <row r="4" spans="1:4" ht="120.75" customHeight="1" thickBot="1">
      <c r="A4" s="120" t="s">
        <v>459</v>
      </c>
      <c r="B4" s="55" t="s">
        <v>499</v>
      </c>
      <c r="C4" s="304"/>
      <c r="D4" s="306"/>
    </row>
    <row r="5" spans="1:4" ht="19.899999999999999" customHeight="1">
      <c r="A5" s="307" t="s">
        <v>448</v>
      </c>
      <c r="B5" s="308"/>
      <c r="C5" s="308"/>
      <c r="D5" s="309">
        <v>2250000</v>
      </c>
    </row>
    <row r="6" spans="1:4" ht="120.75" customHeight="1" thickBot="1">
      <c r="A6" s="120" t="s">
        <v>502</v>
      </c>
      <c r="B6" s="55" t="s">
        <v>499</v>
      </c>
      <c r="C6" s="304"/>
      <c r="D6" s="306"/>
    </row>
    <row r="7" spans="1:4" ht="19.899999999999999" customHeight="1">
      <c r="A7" s="302" t="s">
        <v>449</v>
      </c>
      <c r="B7" s="303"/>
      <c r="C7" s="303"/>
      <c r="D7" s="305">
        <v>2000000</v>
      </c>
    </row>
    <row r="8" spans="1:4" ht="120.75" customHeight="1" thickBot="1">
      <c r="A8" s="120" t="s">
        <v>452</v>
      </c>
      <c r="B8" s="55" t="s">
        <v>451</v>
      </c>
      <c r="C8" s="304"/>
      <c r="D8" s="306"/>
    </row>
    <row r="9" spans="1:4" ht="19.899999999999999" customHeight="1">
      <c r="A9" s="302" t="s">
        <v>453</v>
      </c>
      <c r="B9" s="303"/>
      <c r="C9" s="303"/>
      <c r="D9" s="305">
        <v>1725000</v>
      </c>
    </row>
    <row r="10" spans="1:4" ht="120.75" customHeight="1" thickBot="1">
      <c r="A10" s="120" t="s">
        <v>450</v>
      </c>
      <c r="B10" s="55" t="s">
        <v>460</v>
      </c>
      <c r="C10" s="304"/>
      <c r="D10" s="306"/>
    </row>
    <row r="11" spans="1:4" ht="19.899999999999999" customHeight="1">
      <c r="A11" s="302" t="s">
        <v>399</v>
      </c>
      <c r="B11" s="303"/>
      <c r="C11" s="303"/>
      <c r="D11" s="305">
        <v>975000</v>
      </c>
    </row>
    <row r="12" spans="1:4" ht="107.65" customHeight="1" thickBot="1">
      <c r="A12" s="120" t="s">
        <v>454</v>
      </c>
      <c r="B12" s="55" t="s">
        <v>455</v>
      </c>
      <c r="C12" s="304"/>
      <c r="D12" s="306"/>
    </row>
    <row r="13" spans="1:4" ht="19.899999999999999" customHeight="1">
      <c r="A13" s="302" t="s">
        <v>400</v>
      </c>
      <c r="B13" s="303"/>
      <c r="C13" s="303"/>
      <c r="D13" s="305">
        <v>690000</v>
      </c>
    </row>
    <row r="14" spans="1:4" ht="107.65" customHeight="1" thickBot="1">
      <c r="A14" s="120" t="s">
        <v>839</v>
      </c>
      <c r="B14" s="55" t="s">
        <v>456</v>
      </c>
      <c r="C14" s="304"/>
      <c r="D14" s="306"/>
    </row>
    <row r="15" spans="1:4" ht="19.899999999999999" customHeight="1">
      <c r="A15" s="302" t="s">
        <v>401</v>
      </c>
      <c r="B15" s="303"/>
      <c r="C15" s="303"/>
      <c r="D15" s="305">
        <v>360000</v>
      </c>
    </row>
    <row r="16" spans="1:4" ht="107.65" customHeight="1" thickBot="1">
      <c r="A16" s="120" t="s">
        <v>457</v>
      </c>
      <c r="B16" s="55" t="s">
        <v>456</v>
      </c>
      <c r="C16" s="304"/>
      <c r="D16" s="306"/>
    </row>
    <row r="17" spans="1:4" ht="19.899999999999999" customHeight="1">
      <c r="A17" s="302" t="s">
        <v>404</v>
      </c>
      <c r="B17" s="303"/>
      <c r="C17" s="303"/>
      <c r="D17" s="305">
        <v>1250000</v>
      </c>
    </row>
    <row r="18" spans="1:4" ht="107.65" customHeight="1" thickBot="1">
      <c r="A18" s="120" t="s">
        <v>1145</v>
      </c>
      <c r="B18" s="55" t="s">
        <v>458</v>
      </c>
      <c r="C18" s="304"/>
      <c r="D18" s="306"/>
    </row>
    <row r="19" spans="1:4" ht="19.899999999999999" customHeight="1">
      <c r="A19" s="302" t="s">
        <v>800</v>
      </c>
      <c r="B19" s="303"/>
      <c r="C19" s="303"/>
      <c r="D19" s="305">
        <v>1725000</v>
      </c>
    </row>
    <row r="20" spans="1:4" ht="107.65" customHeight="1" thickBot="1">
      <c r="A20" s="310"/>
      <c r="B20" s="304"/>
      <c r="C20" s="304"/>
      <c r="D20" s="306"/>
    </row>
    <row r="21" spans="1:4" ht="19.899999999999999" customHeight="1">
      <c r="A21" s="302" t="s">
        <v>801</v>
      </c>
      <c r="B21" s="303"/>
      <c r="C21" s="303"/>
      <c r="D21" s="305">
        <v>1725000</v>
      </c>
    </row>
    <row r="22" spans="1:4" ht="107.65" customHeight="1" thickBot="1">
      <c r="A22" s="310"/>
      <c r="B22" s="304"/>
      <c r="C22" s="304"/>
      <c r="D22" s="306"/>
    </row>
    <row r="23" spans="1:4" ht="19.899999999999999" customHeight="1">
      <c r="A23" s="302" t="s">
        <v>500</v>
      </c>
      <c r="B23" s="303"/>
      <c r="C23" s="303"/>
      <c r="D23" s="305">
        <v>1350000</v>
      </c>
    </row>
    <row r="24" spans="1:4" ht="107.65" customHeight="1" thickBot="1">
      <c r="A24" s="310"/>
      <c r="B24" s="304"/>
      <c r="C24" s="304"/>
      <c r="D24" s="306"/>
    </row>
    <row r="25" spans="1:4" ht="19.899999999999999" customHeight="1">
      <c r="A25" s="302" t="s">
        <v>501</v>
      </c>
      <c r="B25" s="303"/>
      <c r="C25" s="303"/>
      <c r="D25" s="305">
        <v>1350000</v>
      </c>
    </row>
    <row r="26" spans="1:4" ht="107.65" customHeight="1" thickBot="1">
      <c r="A26" s="310"/>
      <c r="B26" s="304"/>
      <c r="C26" s="304"/>
      <c r="D26" s="306"/>
    </row>
    <row r="27" spans="1:4" ht="19.899999999999999" customHeight="1">
      <c r="A27" s="302" t="s">
        <v>402</v>
      </c>
      <c r="B27" s="303"/>
      <c r="C27" s="303"/>
      <c r="D27" s="305">
        <v>500000</v>
      </c>
    </row>
    <row r="28" spans="1:4" ht="107.65" customHeight="1" thickBot="1">
      <c r="A28" s="310"/>
      <c r="B28" s="304"/>
      <c r="C28" s="304"/>
      <c r="D28" s="306"/>
    </row>
    <row r="29" spans="1:4" ht="19.899999999999999" customHeight="1">
      <c r="A29" s="302" t="s">
        <v>403</v>
      </c>
      <c r="B29" s="303"/>
      <c r="C29" s="303"/>
      <c r="D29" s="305">
        <v>750000</v>
      </c>
    </row>
    <row r="30" spans="1:4" ht="107.65" customHeight="1">
      <c r="A30" s="311"/>
      <c r="B30" s="312"/>
      <c r="C30" s="312"/>
      <c r="D30" s="313"/>
    </row>
    <row r="31" spans="1:4" s="22" customFormat="1" ht="24.75" customHeight="1">
      <c r="A31" s="299" t="s">
        <v>1146</v>
      </c>
      <c r="B31" s="299"/>
      <c r="C31" s="145"/>
      <c r="D31" s="198">
        <v>150000</v>
      </c>
    </row>
  </sheetData>
  <sheetProtection algorithmName="SHA-512" hashValue="4TsDMPNNa/vJSiodsMJ5n9RVupO+pj3aUUPqYLL2uSVtD/hi/Aow5xj3/ffJe5iMmYyWQbPN8qxQF7MUBYYzkQ==" saltValue="8jLFTTLp/F3lcCJZFzwMgg==" spinCount="100000" sheet="1" objects="1" scenarios="1"/>
  <mergeCells count="44">
    <mergeCell ref="A17:B17"/>
    <mergeCell ref="C17:C18"/>
    <mergeCell ref="D17:D18"/>
    <mergeCell ref="C21:C22"/>
    <mergeCell ref="D21:D22"/>
    <mergeCell ref="A19:B20"/>
    <mergeCell ref="C19:C20"/>
    <mergeCell ref="D19:D20"/>
    <mergeCell ref="A21:B22"/>
    <mergeCell ref="A29:B30"/>
    <mergeCell ref="C29:C30"/>
    <mergeCell ref="D29:D30"/>
    <mergeCell ref="A27:B28"/>
    <mergeCell ref="C27:C28"/>
    <mergeCell ref="D27:D28"/>
    <mergeCell ref="A23:B24"/>
    <mergeCell ref="C23:C24"/>
    <mergeCell ref="D23:D24"/>
    <mergeCell ref="A25:B26"/>
    <mergeCell ref="C25:C26"/>
    <mergeCell ref="D25:D26"/>
    <mergeCell ref="D11:D12"/>
    <mergeCell ref="A13:B13"/>
    <mergeCell ref="C13:C14"/>
    <mergeCell ref="D13:D14"/>
    <mergeCell ref="A15:B15"/>
    <mergeCell ref="C15:C16"/>
    <mergeCell ref="D15:D16"/>
    <mergeCell ref="A31:B31"/>
    <mergeCell ref="A2:B2"/>
    <mergeCell ref="A3:B3"/>
    <mergeCell ref="C3:C4"/>
    <mergeCell ref="D3:D4"/>
    <mergeCell ref="A5:B5"/>
    <mergeCell ref="C5:C6"/>
    <mergeCell ref="D5:D6"/>
    <mergeCell ref="A7:B7"/>
    <mergeCell ref="C7:C8"/>
    <mergeCell ref="D7:D8"/>
    <mergeCell ref="A9:B9"/>
    <mergeCell ref="C9:C10"/>
    <mergeCell ref="D9:D10"/>
    <mergeCell ref="A11:B11"/>
    <mergeCell ref="C11:C12"/>
  </mergeCells>
  <pageMargins left="0.25" right="0.25" top="0.75" bottom="0.75" header="0.3" footer="0.3"/>
  <pageSetup paperSize="9" scale="95" fitToHeight="0" orientation="portrait" horizontalDpi="4294967293" r:id="rId1"/>
  <headerFooter>
    <oddHeader>&amp;R&amp;"-,Bold"KAMAR RAWAT INAP</oddHeader>
    <oddFooter>&amp;L&amp;P | &amp;F&amp;RKAMAR RAWAT INAP</oddFooter>
  </headerFooter>
  <rowBreaks count="3" manualBreakCount="3">
    <brk id="10" max="16383" man="1"/>
    <brk id="18" max="16383" man="1"/>
    <brk id="26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078D1-370C-4712-9157-70FFBDA53402}">
  <sheetPr>
    <pageSetUpPr fitToPage="1"/>
  </sheetPr>
  <dimension ref="A1:F70"/>
  <sheetViews>
    <sheetView view="pageLayout" topLeftCell="A21" zoomScale="73" zoomScaleNormal="82" zoomScalePageLayoutView="73" workbookViewId="0">
      <selection activeCell="D19" sqref="D19"/>
    </sheetView>
  </sheetViews>
  <sheetFormatPr defaultRowHeight="15"/>
  <cols>
    <col min="1" max="1" width="9.85546875" customWidth="1"/>
    <col min="2" max="2" width="42.140625" customWidth="1"/>
    <col min="3" max="3" width="56.7109375" customWidth="1"/>
    <col min="4" max="4" width="22.7109375" bestFit="1" customWidth="1"/>
    <col min="5" max="5" width="20" customWidth="1"/>
    <col min="6" max="6" width="14.85546875" customWidth="1"/>
  </cols>
  <sheetData>
    <row r="1" spans="1:6" ht="18.75">
      <c r="A1" s="50" t="s">
        <v>439</v>
      </c>
      <c r="B1" s="52"/>
      <c r="C1" s="85"/>
      <c r="D1" s="53"/>
      <c r="E1" s="53"/>
      <c r="F1" s="53"/>
    </row>
    <row r="2" spans="1:6" ht="18.75">
      <c r="A2" s="50" t="s">
        <v>438</v>
      </c>
      <c r="B2" s="52"/>
      <c r="C2" s="85"/>
      <c r="D2" s="53"/>
      <c r="E2" s="53"/>
      <c r="F2" s="53"/>
    </row>
    <row r="3" spans="1:6" ht="15.75">
      <c r="A3" s="52"/>
      <c r="B3" s="64"/>
      <c r="C3" s="85"/>
      <c r="D3" s="53"/>
      <c r="E3" s="53"/>
      <c r="F3" s="53"/>
    </row>
    <row r="4" spans="1:6" ht="16.5" thickBot="1">
      <c r="A4" s="324" t="s">
        <v>437</v>
      </c>
      <c r="B4" s="324"/>
      <c r="C4" s="324"/>
      <c r="D4" s="324"/>
      <c r="E4" s="53"/>
      <c r="F4" s="53"/>
    </row>
    <row r="5" spans="1:6" ht="40.5" customHeight="1" thickBot="1">
      <c r="A5" s="107" t="s">
        <v>386</v>
      </c>
      <c r="B5" s="325" t="s">
        <v>387</v>
      </c>
      <c r="C5" s="326"/>
      <c r="D5" s="108" t="s">
        <v>377</v>
      </c>
      <c r="E5" s="83"/>
      <c r="F5" s="81"/>
    </row>
    <row r="6" spans="1:6" ht="16.5" thickBot="1">
      <c r="A6" s="327">
        <v>1</v>
      </c>
      <c r="B6" s="332" t="s">
        <v>1143</v>
      </c>
      <c r="C6" s="109" t="s">
        <v>388</v>
      </c>
      <c r="D6" s="269">
        <v>120000</v>
      </c>
      <c r="E6" s="83"/>
      <c r="F6" s="83"/>
    </row>
    <row r="7" spans="1:6" ht="16.5" thickBot="1">
      <c r="A7" s="331"/>
      <c r="B7" s="333"/>
      <c r="C7" s="109" t="s">
        <v>389</v>
      </c>
      <c r="D7" s="269">
        <v>120000</v>
      </c>
      <c r="E7" s="83"/>
      <c r="F7" s="83"/>
    </row>
    <row r="8" spans="1:6" ht="16.5" thickBot="1">
      <c r="A8" s="331"/>
      <c r="B8" s="333"/>
      <c r="C8" s="109" t="s">
        <v>390</v>
      </c>
      <c r="D8" s="269">
        <v>275000</v>
      </c>
      <c r="E8" s="83"/>
      <c r="F8" s="83"/>
    </row>
    <row r="9" spans="1:6" ht="16.5" thickBot="1">
      <c r="A9" s="331"/>
      <c r="B9" s="333"/>
      <c r="C9" s="109" t="s">
        <v>495</v>
      </c>
      <c r="D9" s="269">
        <v>375000</v>
      </c>
      <c r="E9" s="83"/>
      <c r="F9" s="83"/>
    </row>
    <row r="10" spans="1:6" ht="16.5" thickBot="1">
      <c r="A10" s="331"/>
      <c r="B10" s="333"/>
      <c r="C10" s="109" t="s">
        <v>496</v>
      </c>
      <c r="D10" s="269">
        <v>350000</v>
      </c>
      <c r="E10" s="83"/>
      <c r="F10" s="83"/>
    </row>
    <row r="11" spans="1:6" ht="16.5" thickBot="1">
      <c r="A11" s="331"/>
      <c r="B11" s="333"/>
      <c r="C11" s="109" t="s">
        <v>497</v>
      </c>
      <c r="D11" s="269">
        <v>550000</v>
      </c>
      <c r="E11" s="83"/>
      <c r="F11" s="83"/>
    </row>
    <row r="12" spans="1:6" ht="16.5" thickBot="1">
      <c r="A12" s="331"/>
      <c r="B12" s="333"/>
      <c r="C12" s="109" t="s">
        <v>391</v>
      </c>
      <c r="D12" s="269">
        <v>350000</v>
      </c>
      <c r="E12" s="83"/>
      <c r="F12" s="83"/>
    </row>
    <row r="13" spans="1:6" ht="16.5" thickBot="1">
      <c r="A13" s="331"/>
      <c r="B13" s="333"/>
      <c r="C13" s="109" t="s">
        <v>392</v>
      </c>
      <c r="D13" s="269">
        <v>150000</v>
      </c>
      <c r="E13" s="83"/>
      <c r="F13" s="83"/>
    </row>
    <row r="14" spans="1:6" ht="16.5" thickBot="1">
      <c r="A14" s="331"/>
      <c r="B14" s="333"/>
      <c r="C14" s="109" t="s">
        <v>393</v>
      </c>
      <c r="D14" s="269">
        <v>190000</v>
      </c>
      <c r="E14" s="83"/>
      <c r="F14" s="83"/>
    </row>
    <row r="15" spans="1:6" ht="16.5" thickBot="1">
      <c r="A15" s="331"/>
      <c r="B15" s="333"/>
      <c r="C15" s="109" t="s">
        <v>1147</v>
      </c>
      <c r="D15" s="269">
        <v>375000</v>
      </c>
      <c r="E15" s="83"/>
      <c r="F15" s="83"/>
    </row>
    <row r="16" spans="1:6" ht="16.5" thickBot="1">
      <c r="A16" s="331"/>
      <c r="B16" s="333"/>
      <c r="C16" s="109" t="s">
        <v>1148</v>
      </c>
      <c r="D16" s="269">
        <v>375000</v>
      </c>
      <c r="E16" s="83"/>
      <c r="F16" s="83"/>
    </row>
    <row r="17" spans="1:6" ht="16.5" thickBot="1">
      <c r="A17" s="328"/>
      <c r="B17" s="334"/>
      <c r="C17" s="109" t="s">
        <v>1144</v>
      </c>
      <c r="D17" s="269">
        <v>150000</v>
      </c>
      <c r="E17" s="83"/>
      <c r="F17" s="83"/>
    </row>
    <row r="18" spans="1:6" ht="16.5" thickBot="1">
      <c r="A18" s="327">
        <v>2</v>
      </c>
      <c r="B18" s="329" t="s">
        <v>802</v>
      </c>
      <c r="C18" s="109" t="s">
        <v>803</v>
      </c>
      <c r="D18" s="269">
        <v>65000</v>
      </c>
      <c r="E18" s="83"/>
      <c r="F18" s="83"/>
    </row>
    <row r="19" spans="1:6" ht="16.5" thickBot="1">
      <c r="A19" s="328"/>
      <c r="B19" s="330"/>
      <c r="C19" s="109" t="s">
        <v>804</v>
      </c>
      <c r="D19" s="270" t="s">
        <v>805</v>
      </c>
      <c r="E19" s="83"/>
      <c r="F19" s="83"/>
    </row>
    <row r="20" spans="1:6" ht="16.5" thickBot="1">
      <c r="A20" s="327">
        <v>3</v>
      </c>
      <c r="B20" s="329" t="s">
        <v>446</v>
      </c>
      <c r="C20" s="109" t="s">
        <v>394</v>
      </c>
      <c r="D20" s="269">
        <v>33000</v>
      </c>
      <c r="E20" s="53"/>
      <c r="F20" s="53"/>
    </row>
    <row r="21" spans="1:6" ht="16.5" thickBot="1">
      <c r="A21" s="331"/>
      <c r="B21" s="337"/>
      <c r="C21" s="109" t="s">
        <v>395</v>
      </c>
      <c r="D21" s="269">
        <v>33000</v>
      </c>
      <c r="E21" s="53"/>
      <c r="F21" s="53"/>
    </row>
    <row r="22" spans="1:6" ht="16.5" thickBot="1">
      <c r="A22" s="331"/>
      <c r="B22" s="337"/>
      <c r="C22" s="109" t="s">
        <v>396</v>
      </c>
      <c r="D22" s="269">
        <v>27500</v>
      </c>
      <c r="E22" s="53"/>
      <c r="F22" s="53"/>
    </row>
    <row r="23" spans="1:6" ht="16.5" thickBot="1">
      <c r="A23" s="331"/>
      <c r="B23" s="337"/>
      <c r="C23" s="109" t="s">
        <v>397</v>
      </c>
      <c r="D23" s="269">
        <v>27500</v>
      </c>
      <c r="E23" s="53"/>
      <c r="F23" s="53"/>
    </row>
    <row r="24" spans="1:6" ht="16.5" thickBot="1">
      <c r="A24" s="331"/>
      <c r="B24" s="337"/>
      <c r="C24" s="109" t="s">
        <v>399</v>
      </c>
      <c r="D24" s="269">
        <v>22000</v>
      </c>
      <c r="E24" s="53"/>
      <c r="F24" s="53"/>
    </row>
    <row r="25" spans="1:6" ht="16.5" thickBot="1">
      <c r="A25" s="331"/>
      <c r="B25" s="337"/>
      <c r="C25" s="109" t="s">
        <v>400</v>
      </c>
      <c r="D25" s="269">
        <v>22000</v>
      </c>
      <c r="E25" s="53"/>
      <c r="F25" s="53"/>
    </row>
    <row r="26" spans="1:6" ht="16.5" thickBot="1">
      <c r="A26" s="331"/>
      <c r="B26" s="337"/>
      <c r="C26" s="109" t="s">
        <v>401</v>
      </c>
      <c r="D26" s="269">
        <v>22000</v>
      </c>
      <c r="E26" s="53"/>
      <c r="F26" s="53"/>
    </row>
    <row r="27" spans="1:6" ht="16.5" thickBot="1">
      <c r="A27" s="331"/>
      <c r="B27" s="337"/>
      <c r="C27" s="110" t="s">
        <v>404</v>
      </c>
      <c r="D27" s="269">
        <v>22000</v>
      </c>
      <c r="E27" s="53"/>
      <c r="F27" s="53"/>
    </row>
    <row r="28" spans="1:6" ht="16.5" thickBot="1">
      <c r="A28" s="331"/>
      <c r="B28" s="337"/>
      <c r="C28" s="109" t="s">
        <v>806</v>
      </c>
      <c r="D28" s="269">
        <v>49500</v>
      </c>
      <c r="E28" s="53"/>
      <c r="F28" s="53"/>
    </row>
    <row r="29" spans="1:6" ht="16.5" thickBot="1">
      <c r="A29" s="331"/>
      <c r="B29" s="337"/>
      <c r="C29" s="109" t="s">
        <v>398</v>
      </c>
      <c r="D29" s="269">
        <v>49500</v>
      </c>
      <c r="E29" s="53"/>
      <c r="F29" s="53"/>
    </row>
    <row r="30" spans="1:6" ht="16.5" thickBot="1">
      <c r="A30" s="331"/>
      <c r="B30" s="337"/>
      <c r="C30" s="109" t="s">
        <v>402</v>
      </c>
      <c r="D30" s="269">
        <v>27500</v>
      </c>
      <c r="E30" s="53"/>
      <c r="F30" s="53"/>
    </row>
    <row r="31" spans="1:6" ht="16.5" thickBot="1">
      <c r="A31" s="336"/>
      <c r="B31" s="338"/>
      <c r="C31" s="110" t="s">
        <v>403</v>
      </c>
      <c r="D31" s="271">
        <v>44000</v>
      </c>
      <c r="E31" s="53"/>
      <c r="F31" s="53"/>
    </row>
    <row r="32" spans="1:6" ht="15.75">
      <c r="A32" s="11"/>
      <c r="B32" s="25"/>
      <c r="C32" s="25"/>
      <c r="D32" s="53"/>
      <c r="E32" s="83"/>
      <c r="F32" s="83"/>
    </row>
    <row r="33" spans="1:6" ht="16.5" thickBot="1">
      <c r="A33" s="84" t="s">
        <v>444</v>
      </c>
      <c r="B33" s="79"/>
      <c r="C33" s="80"/>
      <c r="D33" s="81"/>
      <c r="E33" s="81"/>
      <c r="F33" s="81"/>
    </row>
    <row r="34" spans="1:6" ht="44.25" customHeight="1" thickBot="1">
      <c r="A34" s="7" t="s">
        <v>15</v>
      </c>
      <c r="B34" s="8" t="s">
        <v>405</v>
      </c>
      <c r="C34" s="77" t="s">
        <v>799</v>
      </c>
      <c r="D34" s="82" t="s">
        <v>406</v>
      </c>
      <c r="E34" s="24"/>
    </row>
    <row r="35" spans="1:6" ht="15.75" customHeight="1">
      <c r="A35" s="342">
        <v>1</v>
      </c>
      <c r="B35" s="339" t="s">
        <v>394</v>
      </c>
      <c r="C35" s="265" t="s">
        <v>2334</v>
      </c>
      <c r="D35" s="158">
        <v>517000</v>
      </c>
      <c r="E35" s="24"/>
    </row>
    <row r="36" spans="1:6" ht="15.75">
      <c r="A36" s="320"/>
      <c r="B36" s="340"/>
      <c r="C36" s="265" t="s">
        <v>407</v>
      </c>
      <c r="D36" s="160">
        <v>407000</v>
      </c>
      <c r="E36" s="157"/>
    </row>
    <row r="37" spans="1:6" ht="15.75">
      <c r="A37" s="321"/>
      <c r="B37" s="341"/>
      <c r="C37" s="264" t="s">
        <v>408</v>
      </c>
      <c r="D37" s="158">
        <v>88000</v>
      </c>
      <c r="E37" s="157"/>
    </row>
    <row r="38" spans="1:6" ht="15.75">
      <c r="A38" s="319">
        <v>2</v>
      </c>
      <c r="B38" s="316" t="s">
        <v>395</v>
      </c>
      <c r="C38" s="265" t="s">
        <v>2334</v>
      </c>
      <c r="D38" s="158">
        <v>517000</v>
      </c>
      <c r="E38" s="157"/>
    </row>
    <row r="39" spans="1:6" ht="15.75">
      <c r="A39" s="320"/>
      <c r="B39" s="317"/>
      <c r="C39" s="264" t="s">
        <v>407</v>
      </c>
      <c r="D39" s="158">
        <v>407000</v>
      </c>
      <c r="E39" s="157"/>
    </row>
    <row r="40" spans="1:6" ht="15.75">
      <c r="A40" s="321"/>
      <c r="B40" s="318"/>
      <c r="C40" s="264" t="s">
        <v>408</v>
      </c>
      <c r="D40" s="158">
        <v>88000</v>
      </c>
      <c r="E40" s="157"/>
    </row>
    <row r="41" spans="1:6" ht="15.75">
      <c r="A41" s="319">
        <v>3</v>
      </c>
      <c r="B41" s="316" t="s">
        <v>396</v>
      </c>
      <c r="C41" s="265" t="s">
        <v>2334</v>
      </c>
      <c r="D41" s="158">
        <v>467500</v>
      </c>
      <c r="E41" s="157"/>
    </row>
    <row r="42" spans="1:6" ht="15.75">
      <c r="A42" s="320"/>
      <c r="B42" s="317"/>
      <c r="C42" s="264" t="s">
        <v>407</v>
      </c>
      <c r="D42" s="158">
        <v>357500</v>
      </c>
      <c r="E42" s="157"/>
    </row>
    <row r="43" spans="1:6" ht="15.75">
      <c r="A43" s="321"/>
      <c r="B43" s="318"/>
      <c r="C43" s="264" t="s">
        <v>408</v>
      </c>
      <c r="D43" s="158">
        <v>77000</v>
      </c>
      <c r="E43" s="157"/>
    </row>
    <row r="44" spans="1:6" ht="15.75">
      <c r="A44" s="319">
        <v>4</v>
      </c>
      <c r="B44" s="316" t="s">
        <v>397</v>
      </c>
      <c r="C44" s="265" t="s">
        <v>2334</v>
      </c>
      <c r="D44" s="158">
        <v>467500</v>
      </c>
      <c r="E44" s="157"/>
    </row>
    <row r="45" spans="1:6" ht="15.75">
      <c r="A45" s="320"/>
      <c r="B45" s="317"/>
      <c r="C45" s="264" t="s">
        <v>407</v>
      </c>
      <c r="D45" s="158">
        <v>357500</v>
      </c>
      <c r="E45" s="157"/>
    </row>
    <row r="46" spans="1:6" ht="15.75">
      <c r="A46" s="321"/>
      <c r="B46" s="318"/>
      <c r="C46" s="264" t="s">
        <v>408</v>
      </c>
      <c r="D46" s="158">
        <v>77000</v>
      </c>
      <c r="E46" s="157"/>
    </row>
    <row r="47" spans="1:6" ht="15.75">
      <c r="A47" s="319">
        <v>5</v>
      </c>
      <c r="B47" s="316" t="s">
        <v>409</v>
      </c>
      <c r="C47" s="265" t="s">
        <v>2334</v>
      </c>
      <c r="D47" s="158">
        <v>429000</v>
      </c>
      <c r="E47" s="157"/>
    </row>
    <row r="48" spans="1:6" ht="15.75">
      <c r="A48" s="320"/>
      <c r="B48" s="317"/>
      <c r="C48" s="264" t="s">
        <v>407</v>
      </c>
      <c r="D48" s="158">
        <v>319000</v>
      </c>
      <c r="E48" s="157"/>
    </row>
    <row r="49" spans="1:5" ht="15.75">
      <c r="A49" s="321"/>
      <c r="B49" s="318"/>
      <c r="C49" s="264" t="s">
        <v>408</v>
      </c>
      <c r="D49" s="158">
        <v>71500</v>
      </c>
      <c r="E49" s="157"/>
    </row>
    <row r="50" spans="1:5" ht="15.75">
      <c r="A50" s="319">
        <v>6</v>
      </c>
      <c r="B50" s="316" t="s">
        <v>410</v>
      </c>
      <c r="C50" s="265" t="s">
        <v>2334</v>
      </c>
      <c r="D50" s="158">
        <v>407000</v>
      </c>
      <c r="E50" s="157"/>
    </row>
    <row r="51" spans="1:5" ht="15.75">
      <c r="A51" s="320"/>
      <c r="B51" s="317"/>
      <c r="C51" s="264" t="s">
        <v>407</v>
      </c>
      <c r="D51" s="158">
        <v>297000</v>
      </c>
      <c r="E51" s="157"/>
    </row>
    <row r="52" spans="1:5" ht="15.75">
      <c r="A52" s="321"/>
      <c r="B52" s="318"/>
      <c r="C52" s="264" t="s">
        <v>408</v>
      </c>
      <c r="D52" s="158">
        <v>71500</v>
      </c>
      <c r="E52" s="157"/>
    </row>
    <row r="53" spans="1:5" ht="15.75">
      <c r="A53" s="319">
        <v>7</v>
      </c>
      <c r="B53" s="316" t="s">
        <v>411</v>
      </c>
      <c r="C53" s="265" t="s">
        <v>2334</v>
      </c>
      <c r="D53" s="158">
        <v>385000</v>
      </c>
      <c r="E53" s="157"/>
    </row>
    <row r="54" spans="1:5" ht="15.75">
      <c r="A54" s="320"/>
      <c r="B54" s="317"/>
      <c r="C54" s="264" t="s">
        <v>407</v>
      </c>
      <c r="D54" s="158">
        <v>275000</v>
      </c>
      <c r="E54" s="157"/>
    </row>
    <row r="55" spans="1:5" ht="15.75">
      <c r="A55" s="321"/>
      <c r="B55" s="318"/>
      <c r="C55" s="264" t="s">
        <v>408</v>
      </c>
      <c r="D55" s="158">
        <v>71500</v>
      </c>
      <c r="E55" s="157"/>
    </row>
    <row r="56" spans="1:5" ht="15.75">
      <c r="A56" s="319">
        <v>8</v>
      </c>
      <c r="B56" s="316" t="s">
        <v>806</v>
      </c>
      <c r="C56" s="265" t="s">
        <v>2334</v>
      </c>
      <c r="D56" s="158">
        <v>517000</v>
      </c>
      <c r="E56" s="157"/>
    </row>
    <row r="57" spans="1:5" ht="15.75">
      <c r="A57" s="320"/>
      <c r="B57" s="317"/>
      <c r="C57" s="264" t="s">
        <v>407</v>
      </c>
      <c r="D57" s="158">
        <v>407000</v>
      </c>
      <c r="E57" s="157"/>
    </row>
    <row r="58" spans="1:5" ht="15.75">
      <c r="A58" s="321"/>
      <c r="B58" s="318"/>
      <c r="C58" s="264" t="s">
        <v>408</v>
      </c>
      <c r="D58" s="158">
        <v>99000</v>
      </c>
      <c r="E58" s="157"/>
    </row>
    <row r="59" spans="1:5" ht="15.75">
      <c r="A59" s="319">
        <v>9</v>
      </c>
      <c r="B59" s="316" t="s">
        <v>398</v>
      </c>
      <c r="C59" s="265" t="s">
        <v>2334</v>
      </c>
      <c r="D59" s="158">
        <v>517000</v>
      </c>
      <c r="E59" s="157"/>
    </row>
    <row r="60" spans="1:5" ht="15.75">
      <c r="A60" s="320"/>
      <c r="B60" s="317"/>
      <c r="C60" s="264" t="s">
        <v>407</v>
      </c>
      <c r="D60" s="158">
        <v>357500</v>
      </c>
      <c r="E60" s="157"/>
    </row>
    <row r="61" spans="1:5" ht="16.5" thickBot="1">
      <c r="A61" s="321"/>
      <c r="B61" s="323"/>
      <c r="C61" s="264" t="s">
        <v>408</v>
      </c>
      <c r="D61" s="158">
        <v>99000</v>
      </c>
      <c r="E61" s="157"/>
    </row>
    <row r="62" spans="1:5" ht="15.75">
      <c r="A62" s="319">
        <v>10</v>
      </c>
      <c r="B62" s="322" t="s">
        <v>412</v>
      </c>
      <c r="C62" s="265" t="s">
        <v>2334</v>
      </c>
      <c r="D62" s="314" t="s">
        <v>413</v>
      </c>
      <c r="E62" s="157"/>
    </row>
    <row r="63" spans="1:5" ht="15.75">
      <c r="A63" s="320"/>
      <c r="B63" s="317"/>
      <c r="C63" s="264" t="s">
        <v>407</v>
      </c>
      <c r="D63" s="315"/>
      <c r="E63" s="157"/>
    </row>
    <row r="64" spans="1:5" ht="15.75">
      <c r="A64" s="321"/>
      <c r="B64" s="318"/>
      <c r="C64" s="264" t="s">
        <v>408</v>
      </c>
      <c r="D64" s="158">
        <v>71500</v>
      </c>
      <c r="E64" s="157"/>
    </row>
    <row r="65" spans="1:5" ht="15.75">
      <c r="A65" s="319">
        <v>11</v>
      </c>
      <c r="B65" s="316" t="s">
        <v>403</v>
      </c>
      <c r="C65" s="265" t="s">
        <v>2334</v>
      </c>
      <c r="D65" s="158">
        <v>429000</v>
      </c>
      <c r="E65" s="157"/>
    </row>
    <row r="66" spans="1:5" ht="15.75">
      <c r="A66" s="320"/>
      <c r="B66" s="317"/>
      <c r="C66" s="264" t="s">
        <v>407</v>
      </c>
      <c r="D66" s="158">
        <v>357500</v>
      </c>
      <c r="E66" s="157"/>
    </row>
    <row r="67" spans="1:5" ht="15.75">
      <c r="A67" s="321"/>
      <c r="B67" s="318"/>
      <c r="C67" s="264" t="s">
        <v>408</v>
      </c>
      <c r="D67" s="158">
        <v>71500</v>
      </c>
      <c r="E67" s="157"/>
    </row>
    <row r="68" spans="1:5" ht="15.75">
      <c r="A68" s="319">
        <v>12</v>
      </c>
      <c r="B68" s="316" t="s">
        <v>404</v>
      </c>
      <c r="C68" s="265" t="s">
        <v>2334</v>
      </c>
      <c r="D68" s="158">
        <v>429000</v>
      </c>
      <c r="E68" s="157"/>
    </row>
    <row r="69" spans="1:5" ht="15.75">
      <c r="A69" s="320"/>
      <c r="B69" s="317"/>
      <c r="C69" s="264" t="s">
        <v>407</v>
      </c>
      <c r="D69" s="158">
        <v>319000</v>
      </c>
      <c r="E69" s="157"/>
    </row>
    <row r="70" spans="1:5" ht="16.5" thickBot="1">
      <c r="A70" s="335"/>
      <c r="B70" s="323"/>
      <c r="C70" s="268" t="s">
        <v>408</v>
      </c>
      <c r="D70" s="159">
        <v>71500</v>
      </c>
      <c r="E70" s="157"/>
    </row>
  </sheetData>
  <mergeCells count="33">
    <mergeCell ref="A68:A70"/>
    <mergeCell ref="B68:B70"/>
    <mergeCell ref="A65:A67"/>
    <mergeCell ref="B65:B67"/>
    <mergeCell ref="A20:A31"/>
    <mergeCell ref="B20:B31"/>
    <mergeCell ref="A44:A46"/>
    <mergeCell ref="B44:B46"/>
    <mergeCell ref="B35:B37"/>
    <mergeCell ref="A35:A37"/>
    <mergeCell ref="A53:A55"/>
    <mergeCell ref="B53:B55"/>
    <mergeCell ref="A50:A52"/>
    <mergeCell ref="B50:B52"/>
    <mergeCell ref="B47:B49"/>
    <mergeCell ref="A47:A49"/>
    <mergeCell ref="A4:D4"/>
    <mergeCell ref="B5:C5"/>
    <mergeCell ref="A18:A19"/>
    <mergeCell ref="B18:B19"/>
    <mergeCell ref="A6:A17"/>
    <mergeCell ref="B6:B17"/>
    <mergeCell ref="D62:D63"/>
    <mergeCell ref="B41:B43"/>
    <mergeCell ref="A41:A43"/>
    <mergeCell ref="A38:A40"/>
    <mergeCell ref="B38:B40"/>
    <mergeCell ref="A62:A64"/>
    <mergeCell ref="B62:B64"/>
    <mergeCell ref="A59:A61"/>
    <mergeCell ref="B59:B61"/>
    <mergeCell ref="A56:A58"/>
    <mergeCell ref="B56:B58"/>
  </mergeCells>
  <pageMargins left="0.7" right="0.7" top="0.75" bottom="0.75" header="0.3" footer="0.3"/>
  <pageSetup paperSize="9" scale="61" orientation="portrait" horizontalDpi="4294967293" r:id="rId1"/>
  <headerFooter>
    <oddHeader>&amp;R&amp;"-,Bold"PELAYANAN</oddHeader>
    <oddFooter>&amp;L&amp;P+4 | &amp;F&amp;RTARIF PELAYANAN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6FC73-54B4-43AB-A254-7B1CEE4243DF}">
  <sheetPr codeName="Sheet3"/>
  <dimension ref="A1:I380"/>
  <sheetViews>
    <sheetView showGridLines="0" view="pageLayout" zoomScale="70" zoomScaleNormal="70" zoomScalePageLayoutView="70" workbookViewId="0">
      <selection activeCell="F370" sqref="F370"/>
    </sheetView>
  </sheetViews>
  <sheetFormatPr defaultColWidth="3.42578125" defaultRowHeight="15"/>
  <cols>
    <col min="1" max="1" width="5.42578125" style="15" customWidth="1"/>
    <col min="2" max="2" width="50" customWidth="1"/>
    <col min="3" max="3" width="11.28515625" hidden="1" customWidth="1"/>
    <col min="4" max="4" width="17.7109375" style="1" customWidth="1"/>
    <col min="5" max="5" width="6.7109375" style="1" customWidth="1"/>
    <col min="6" max="6" width="5.42578125" style="15" customWidth="1"/>
    <col min="7" max="7" width="49.140625" customWidth="1"/>
    <col min="8" max="8" width="14.7109375" hidden="1" customWidth="1"/>
    <col min="9" max="9" width="16.5703125" style="1" customWidth="1"/>
  </cols>
  <sheetData>
    <row r="1" spans="1:9" ht="18.75">
      <c r="A1" s="50" t="s">
        <v>441</v>
      </c>
      <c r="D1" s="10"/>
      <c r="E1" s="10"/>
      <c r="F1" s="50"/>
      <c r="I1" s="10"/>
    </row>
    <row r="2" spans="1:9" ht="18.75">
      <c r="A2" s="50" t="s">
        <v>14</v>
      </c>
      <c r="D2" s="10"/>
      <c r="E2" s="10"/>
      <c r="F2" s="50"/>
      <c r="I2" s="10"/>
    </row>
    <row r="3" spans="1:9" ht="15.75" thickBot="1">
      <c r="A3" s="78"/>
      <c r="B3" s="59"/>
      <c r="C3" s="9"/>
      <c r="D3" s="10"/>
      <c r="E3" s="10"/>
      <c r="F3" s="78"/>
      <c r="G3" s="59"/>
      <c r="H3" s="59"/>
      <c r="I3" s="57"/>
    </row>
    <row r="4" spans="1:9" ht="32.25" thickBot="1">
      <c r="A4" s="69" t="s">
        <v>15</v>
      </c>
      <c r="B4" s="69" t="s">
        <v>16</v>
      </c>
      <c r="C4" s="69"/>
      <c r="D4" s="14" t="s">
        <v>17</v>
      </c>
      <c r="E4" s="24"/>
      <c r="F4" s="7" t="s">
        <v>15</v>
      </c>
      <c r="G4" s="8" t="s">
        <v>16</v>
      </c>
      <c r="H4" s="39"/>
      <c r="I4" s="87" t="s">
        <v>17</v>
      </c>
    </row>
    <row r="5" spans="1:9">
      <c r="A5" s="161">
        <v>1</v>
      </c>
      <c r="B5" s="5" t="s">
        <v>1568</v>
      </c>
      <c r="C5" s="5">
        <v>381150.00000000006</v>
      </c>
      <c r="D5" s="162">
        <f>ROUNDUP(C5,-3)</f>
        <v>382000</v>
      </c>
      <c r="F5" s="161">
        <v>371</v>
      </c>
      <c r="G5" s="3" t="s">
        <v>1934</v>
      </c>
      <c r="H5" s="5">
        <v>121000.00000000001</v>
      </c>
      <c r="I5" s="162">
        <f t="shared" ref="I5:I14" si="0">ROUNDUP(H5,-3)</f>
        <v>121000</v>
      </c>
    </row>
    <row r="6" spans="1:9">
      <c r="A6" s="161">
        <v>2</v>
      </c>
      <c r="B6" s="3" t="s">
        <v>1569</v>
      </c>
      <c r="C6" s="5">
        <v>177719.30000000002</v>
      </c>
      <c r="D6" s="162">
        <f t="shared" ref="D6:D69" si="1">ROUNDUP(C6,-3)</f>
        <v>178000</v>
      </c>
      <c r="F6" s="161">
        <v>372</v>
      </c>
      <c r="G6" s="3" t="s">
        <v>1935</v>
      </c>
      <c r="H6" s="5">
        <v>1090452</v>
      </c>
      <c r="I6" s="162">
        <f t="shared" si="0"/>
        <v>1091000</v>
      </c>
    </row>
    <row r="7" spans="1:9">
      <c r="A7" s="161">
        <v>3</v>
      </c>
      <c r="B7" s="3" t="s">
        <v>1570</v>
      </c>
      <c r="C7" s="5">
        <v>419719.30000000005</v>
      </c>
      <c r="D7" s="162">
        <f t="shared" si="1"/>
        <v>420000</v>
      </c>
      <c r="F7" s="161">
        <v>373</v>
      </c>
      <c r="G7" s="3" t="s">
        <v>1936</v>
      </c>
      <c r="H7" s="5">
        <v>1738770.0000000002</v>
      </c>
      <c r="I7" s="162">
        <f t="shared" si="0"/>
        <v>1739000</v>
      </c>
    </row>
    <row r="8" spans="1:9">
      <c r="A8" s="161">
        <v>4</v>
      </c>
      <c r="B8" s="3" t="s">
        <v>1571</v>
      </c>
      <c r="C8" s="5">
        <v>55206.8</v>
      </c>
      <c r="D8" s="162">
        <f t="shared" si="1"/>
        <v>56000</v>
      </c>
      <c r="F8" s="161">
        <v>374</v>
      </c>
      <c r="G8" s="3" t="s">
        <v>1937</v>
      </c>
      <c r="H8" s="5">
        <v>1201200</v>
      </c>
      <c r="I8" s="162">
        <f t="shared" si="0"/>
        <v>1202000</v>
      </c>
    </row>
    <row r="9" spans="1:9">
      <c r="A9" s="161">
        <v>5</v>
      </c>
      <c r="B9" s="3" t="s">
        <v>1572</v>
      </c>
      <c r="C9" s="5">
        <v>279056.80000000005</v>
      </c>
      <c r="D9" s="162">
        <f t="shared" si="1"/>
        <v>280000</v>
      </c>
      <c r="F9" s="161">
        <v>375</v>
      </c>
      <c r="G9" s="3" t="s">
        <v>1938</v>
      </c>
      <c r="H9" s="5">
        <v>11416350</v>
      </c>
      <c r="I9" s="162">
        <f t="shared" si="0"/>
        <v>11417000</v>
      </c>
    </row>
    <row r="10" spans="1:9">
      <c r="A10" s="161">
        <v>6</v>
      </c>
      <c r="B10" s="3" t="s">
        <v>1573</v>
      </c>
      <c r="C10" s="5">
        <v>124781.8</v>
      </c>
      <c r="D10" s="162">
        <f t="shared" si="1"/>
        <v>125000</v>
      </c>
      <c r="F10" s="161">
        <v>376</v>
      </c>
      <c r="G10" s="3" t="s">
        <v>1939</v>
      </c>
      <c r="H10" s="5">
        <v>3811500.0000000005</v>
      </c>
      <c r="I10" s="162">
        <f t="shared" si="0"/>
        <v>3812000</v>
      </c>
    </row>
    <row r="11" spans="1:9">
      <c r="A11" s="161">
        <v>7</v>
      </c>
      <c r="B11" s="3" t="s">
        <v>1574</v>
      </c>
      <c r="C11" s="5">
        <v>161081.80000000002</v>
      </c>
      <c r="D11" s="162">
        <f t="shared" si="1"/>
        <v>162000</v>
      </c>
      <c r="F11" s="161">
        <v>377</v>
      </c>
      <c r="G11" s="3" t="s">
        <v>1940</v>
      </c>
      <c r="H11" s="5">
        <v>889350.00000000012</v>
      </c>
      <c r="I11" s="162">
        <f t="shared" si="0"/>
        <v>890000</v>
      </c>
    </row>
    <row r="12" spans="1:9">
      <c r="A12" s="161">
        <v>8</v>
      </c>
      <c r="B12" s="3" t="s">
        <v>1575</v>
      </c>
      <c r="C12" s="5">
        <v>196625.00000000003</v>
      </c>
      <c r="D12" s="162">
        <f t="shared" si="1"/>
        <v>197000</v>
      </c>
      <c r="F12" s="161">
        <v>378</v>
      </c>
      <c r="G12" s="3" t="s">
        <v>1941</v>
      </c>
      <c r="H12" s="5">
        <v>243512.50000000003</v>
      </c>
      <c r="I12" s="162">
        <f t="shared" si="0"/>
        <v>244000</v>
      </c>
    </row>
    <row r="13" spans="1:9">
      <c r="A13" s="161">
        <v>9</v>
      </c>
      <c r="B13" s="3" t="s">
        <v>1576</v>
      </c>
      <c r="C13" s="5">
        <v>76381.8</v>
      </c>
      <c r="D13" s="162">
        <f t="shared" si="1"/>
        <v>77000</v>
      </c>
      <c r="F13" s="161">
        <v>379</v>
      </c>
      <c r="G13" s="3" t="s">
        <v>1942</v>
      </c>
      <c r="H13" s="5">
        <v>166375</v>
      </c>
      <c r="I13" s="162">
        <f t="shared" si="0"/>
        <v>167000</v>
      </c>
    </row>
    <row r="14" spans="1:9">
      <c r="A14" s="161">
        <v>10</v>
      </c>
      <c r="B14" s="3" t="s">
        <v>1577</v>
      </c>
      <c r="C14" s="5">
        <v>507444.30000000005</v>
      </c>
      <c r="D14" s="162">
        <f t="shared" si="1"/>
        <v>508000</v>
      </c>
      <c r="F14" s="161">
        <v>380</v>
      </c>
      <c r="G14" s="3" t="s">
        <v>1943</v>
      </c>
      <c r="H14" s="5">
        <v>110412.50000000001</v>
      </c>
      <c r="I14" s="162">
        <f t="shared" si="0"/>
        <v>111000</v>
      </c>
    </row>
    <row r="15" spans="1:9">
      <c r="A15" s="161">
        <v>11</v>
      </c>
      <c r="B15" s="3" t="s">
        <v>1578</v>
      </c>
      <c r="C15" s="5">
        <v>127050.00000000001</v>
      </c>
      <c r="D15" s="162">
        <f t="shared" si="1"/>
        <v>128000</v>
      </c>
      <c r="F15" s="161">
        <v>381</v>
      </c>
      <c r="G15" s="3" t="s">
        <v>1944</v>
      </c>
      <c r="H15" s="5">
        <v>330000</v>
      </c>
      <c r="I15" s="162">
        <f t="shared" ref="I15:I25" si="2">ROUNDUP(H15,-3)</f>
        <v>330000</v>
      </c>
    </row>
    <row r="16" spans="1:9">
      <c r="A16" s="161">
        <v>12</v>
      </c>
      <c r="B16" s="3" t="s">
        <v>1579</v>
      </c>
      <c r="C16" s="5">
        <v>444675.00000000006</v>
      </c>
      <c r="D16" s="162">
        <f t="shared" si="1"/>
        <v>445000</v>
      </c>
      <c r="F16" s="161">
        <v>382</v>
      </c>
      <c r="G16" s="3" t="s">
        <v>1945</v>
      </c>
      <c r="H16" s="5">
        <v>275000</v>
      </c>
      <c r="I16" s="162">
        <f t="shared" si="2"/>
        <v>275000</v>
      </c>
    </row>
    <row r="17" spans="1:9">
      <c r="A17" s="161">
        <v>13</v>
      </c>
      <c r="B17" s="3" t="s">
        <v>1580</v>
      </c>
      <c r="C17" s="5">
        <v>1141181.8</v>
      </c>
      <c r="D17" s="162">
        <f t="shared" si="1"/>
        <v>1142000</v>
      </c>
      <c r="F17" s="161">
        <v>383</v>
      </c>
      <c r="G17" s="3" t="s">
        <v>1946</v>
      </c>
      <c r="H17" s="5">
        <v>960437.50000000012</v>
      </c>
      <c r="I17" s="162">
        <f t="shared" si="2"/>
        <v>961000</v>
      </c>
    </row>
    <row r="18" spans="1:9">
      <c r="A18" s="161">
        <v>14</v>
      </c>
      <c r="B18" s="3" t="s">
        <v>1581</v>
      </c>
      <c r="C18" s="5">
        <v>50669.3</v>
      </c>
      <c r="D18" s="162">
        <f t="shared" si="1"/>
        <v>51000</v>
      </c>
      <c r="F18" s="161">
        <v>384</v>
      </c>
      <c r="G18" s="3" t="s">
        <v>1947</v>
      </c>
      <c r="H18" s="5">
        <v>662475</v>
      </c>
      <c r="I18" s="162">
        <f t="shared" si="2"/>
        <v>663000</v>
      </c>
    </row>
    <row r="19" spans="1:9">
      <c r="A19" s="161">
        <v>15</v>
      </c>
      <c r="B19" s="3" t="s">
        <v>1582</v>
      </c>
      <c r="C19" s="5">
        <v>228387.50000000003</v>
      </c>
      <c r="D19" s="162">
        <f t="shared" si="1"/>
        <v>229000</v>
      </c>
      <c r="F19" s="161">
        <v>385</v>
      </c>
      <c r="G19" s="3" t="s">
        <v>1948</v>
      </c>
      <c r="H19" s="5">
        <v>1925000.0000000002</v>
      </c>
      <c r="I19" s="162">
        <f t="shared" si="2"/>
        <v>1925000</v>
      </c>
    </row>
    <row r="20" spans="1:9">
      <c r="A20" s="161">
        <v>16</v>
      </c>
      <c r="B20" s="3" t="s">
        <v>1583</v>
      </c>
      <c r="C20" s="5">
        <v>115706.8</v>
      </c>
      <c r="D20" s="162">
        <f t="shared" si="1"/>
        <v>116000</v>
      </c>
      <c r="F20" s="161">
        <v>386</v>
      </c>
      <c r="G20" s="3" t="s">
        <v>1949</v>
      </c>
      <c r="H20" s="5">
        <v>385000.00000000006</v>
      </c>
      <c r="I20" s="162">
        <f t="shared" si="2"/>
        <v>385000</v>
      </c>
    </row>
    <row r="21" spans="1:9">
      <c r="A21" s="161">
        <v>17</v>
      </c>
      <c r="B21" s="3" t="s">
        <v>1584</v>
      </c>
      <c r="C21" s="5">
        <v>145200</v>
      </c>
      <c r="D21" s="162">
        <f t="shared" si="1"/>
        <v>146000</v>
      </c>
      <c r="F21" s="161">
        <v>387</v>
      </c>
      <c r="G21" s="3" t="s">
        <v>1950</v>
      </c>
      <c r="H21" s="5">
        <v>662475</v>
      </c>
      <c r="I21" s="162">
        <f t="shared" si="2"/>
        <v>663000</v>
      </c>
    </row>
    <row r="22" spans="1:9">
      <c r="A22" s="161">
        <v>18</v>
      </c>
      <c r="B22" s="3" t="s">
        <v>1585</v>
      </c>
      <c r="C22" s="5">
        <v>69575</v>
      </c>
      <c r="D22" s="162">
        <f t="shared" si="1"/>
        <v>70000</v>
      </c>
      <c r="F22" s="161">
        <v>388</v>
      </c>
      <c r="G22" s="3" t="s">
        <v>1951</v>
      </c>
      <c r="H22" s="5">
        <v>644325</v>
      </c>
      <c r="I22" s="162">
        <f t="shared" si="2"/>
        <v>645000</v>
      </c>
    </row>
    <row r="23" spans="1:9">
      <c r="A23" s="161">
        <v>19</v>
      </c>
      <c r="B23" s="3" t="s">
        <v>1586</v>
      </c>
      <c r="C23" s="5">
        <v>220000.00000000003</v>
      </c>
      <c r="D23" s="162">
        <f t="shared" si="1"/>
        <v>220000</v>
      </c>
      <c r="F23" s="161">
        <v>389</v>
      </c>
      <c r="G23" s="3" t="s">
        <v>1952</v>
      </c>
      <c r="H23" s="5">
        <v>143000</v>
      </c>
      <c r="I23" s="162">
        <f t="shared" si="2"/>
        <v>143000</v>
      </c>
    </row>
    <row r="24" spans="1:9">
      <c r="A24" s="161">
        <v>20</v>
      </c>
      <c r="B24" s="3" t="s">
        <v>1587</v>
      </c>
      <c r="C24" s="5">
        <v>253344.30000000002</v>
      </c>
      <c r="D24" s="162">
        <f t="shared" si="1"/>
        <v>254000</v>
      </c>
      <c r="F24" s="161">
        <v>390</v>
      </c>
      <c r="G24" s="3" t="s">
        <v>1953</v>
      </c>
      <c r="H24" s="5">
        <v>243512.50000000003</v>
      </c>
      <c r="I24" s="162">
        <f t="shared" si="2"/>
        <v>244000</v>
      </c>
    </row>
    <row r="25" spans="1:9">
      <c r="A25" s="161">
        <v>21</v>
      </c>
      <c r="B25" s="3" t="s">
        <v>1588</v>
      </c>
      <c r="C25" s="5">
        <v>191331.80000000002</v>
      </c>
      <c r="D25" s="162">
        <f t="shared" si="1"/>
        <v>192000</v>
      </c>
      <c r="F25" s="161">
        <v>391</v>
      </c>
      <c r="G25" s="3" t="s">
        <v>1954</v>
      </c>
      <c r="H25" s="5">
        <v>287375</v>
      </c>
      <c r="I25" s="162">
        <f t="shared" si="2"/>
        <v>288000</v>
      </c>
    </row>
    <row r="26" spans="1:9">
      <c r="A26" s="161">
        <v>22</v>
      </c>
      <c r="B26" s="3" t="s">
        <v>1589</v>
      </c>
      <c r="C26" s="5">
        <v>634494.30000000005</v>
      </c>
      <c r="D26" s="162">
        <f t="shared" si="1"/>
        <v>635000</v>
      </c>
      <c r="F26" s="161">
        <v>392</v>
      </c>
      <c r="G26" s="3" t="s">
        <v>1955</v>
      </c>
      <c r="H26" s="5">
        <v>279812.5</v>
      </c>
      <c r="I26" s="162">
        <f>ROUNDUP(H26,-3)</f>
        <v>280000</v>
      </c>
    </row>
    <row r="27" spans="1:9">
      <c r="A27" s="161">
        <v>23</v>
      </c>
      <c r="B27" s="3" t="s">
        <v>1590</v>
      </c>
      <c r="C27" s="5">
        <v>253344.30000000002</v>
      </c>
      <c r="D27" s="162">
        <f t="shared" si="1"/>
        <v>254000</v>
      </c>
      <c r="F27" s="161">
        <v>393</v>
      </c>
      <c r="G27" s="3" t="s">
        <v>1956</v>
      </c>
      <c r="H27" s="5">
        <v>524081.80000000005</v>
      </c>
      <c r="I27" s="162">
        <f t="shared" ref="I27:I90" si="3">ROUNDUP(H27,-3)</f>
        <v>525000</v>
      </c>
    </row>
    <row r="28" spans="1:9">
      <c r="A28" s="161">
        <v>24</v>
      </c>
      <c r="B28" s="3" t="s">
        <v>1591</v>
      </c>
      <c r="C28" s="5">
        <v>83600</v>
      </c>
      <c r="D28" s="162">
        <f t="shared" si="1"/>
        <v>84000</v>
      </c>
      <c r="F28" s="161">
        <v>394</v>
      </c>
      <c r="G28" s="3" t="s">
        <v>1957</v>
      </c>
      <c r="H28" s="5">
        <v>174694.30000000002</v>
      </c>
      <c r="I28" s="162">
        <f t="shared" si="3"/>
        <v>175000</v>
      </c>
    </row>
    <row r="29" spans="1:9">
      <c r="A29" s="161">
        <v>25</v>
      </c>
      <c r="B29" s="3" t="s">
        <v>1592</v>
      </c>
      <c r="C29" s="5">
        <v>1653300.0000000002</v>
      </c>
      <c r="D29" s="162">
        <f t="shared" si="1"/>
        <v>1654000</v>
      </c>
      <c r="F29" s="161">
        <v>395</v>
      </c>
      <c r="G29" s="3" t="s">
        <v>1958</v>
      </c>
      <c r="H29" s="5">
        <v>349387.5</v>
      </c>
      <c r="I29" s="162">
        <f t="shared" si="3"/>
        <v>350000</v>
      </c>
    </row>
    <row r="30" spans="1:9">
      <c r="A30" s="161">
        <v>26</v>
      </c>
      <c r="B30" s="3" t="s">
        <v>1593</v>
      </c>
      <c r="C30" s="5">
        <v>83600</v>
      </c>
      <c r="D30" s="162">
        <f t="shared" si="1"/>
        <v>84000</v>
      </c>
      <c r="F30" s="161">
        <v>396</v>
      </c>
      <c r="G30" s="3" t="s">
        <v>1959</v>
      </c>
      <c r="H30" s="5">
        <v>558869.30000000005</v>
      </c>
      <c r="I30" s="162">
        <f t="shared" si="3"/>
        <v>559000</v>
      </c>
    </row>
    <row r="31" spans="1:9">
      <c r="A31" s="161">
        <v>27</v>
      </c>
      <c r="B31" s="3" t="s">
        <v>1594</v>
      </c>
      <c r="C31" s="5">
        <v>83600</v>
      </c>
      <c r="D31" s="162">
        <f t="shared" si="1"/>
        <v>84000</v>
      </c>
      <c r="F31" s="161">
        <v>397</v>
      </c>
      <c r="G31" s="3" t="s">
        <v>1960</v>
      </c>
      <c r="H31" s="5">
        <v>279812.5</v>
      </c>
      <c r="I31" s="162">
        <f t="shared" si="3"/>
        <v>280000</v>
      </c>
    </row>
    <row r="32" spans="1:9">
      <c r="A32" s="161">
        <v>28</v>
      </c>
      <c r="B32" s="3" t="s">
        <v>1595</v>
      </c>
      <c r="C32" s="5">
        <v>83600</v>
      </c>
      <c r="D32" s="162">
        <f t="shared" si="1"/>
        <v>84000</v>
      </c>
      <c r="F32" s="161">
        <v>398</v>
      </c>
      <c r="G32" s="3" t="s">
        <v>1961</v>
      </c>
      <c r="H32" s="5">
        <v>418962.50000000006</v>
      </c>
      <c r="I32" s="162">
        <f t="shared" si="3"/>
        <v>419000</v>
      </c>
    </row>
    <row r="33" spans="1:9">
      <c r="A33" s="161">
        <v>29</v>
      </c>
      <c r="B33" s="3" t="s">
        <v>1596</v>
      </c>
      <c r="C33" s="5">
        <v>254100.00000000003</v>
      </c>
      <c r="D33" s="162">
        <f t="shared" si="1"/>
        <v>255000</v>
      </c>
      <c r="F33" s="161">
        <v>399</v>
      </c>
      <c r="G33" s="3" t="s">
        <v>1962</v>
      </c>
      <c r="H33" s="5">
        <v>209481.80000000002</v>
      </c>
      <c r="I33" s="162">
        <f t="shared" si="3"/>
        <v>210000</v>
      </c>
    </row>
    <row r="34" spans="1:9">
      <c r="A34" s="161">
        <v>30</v>
      </c>
      <c r="B34" s="3" t="s">
        <v>1597</v>
      </c>
      <c r="C34" s="5">
        <v>127050.00000000001</v>
      </c>
      <c r="D34" s="162">
        <f t="shared" si="1"/>
        <v>128000</v>
      </c>
      <c r="F34" s="161">
        <v>400</v>
      </c>
      <c r="G34" s="3" t="s">
        <v>1963</v>
      </c>
      <c r="H34" s="5">
        <v>279812.5</v>
      </c>
      <c r="I34" s="162">
        <f t="shared" si="3"/>
        <v>280000</v>
      </c>
    </row>
    <row r="35" spans="1:9">
      <c r="A35" s="161">
        <v>31</v>
      </c>
      <c r="B35" s="3" t="s">
        <v>1598</v>
      </c>
      <c r="C35" s="5">
        <v>253344.30000000002</v>
      </c>
      <c r="D35" s="162">
        <f t="shared" si="1"/>
        <v>254000</v>
      </c>
      <c r="F35" s="161">
        <v>401</v>
      </c>
      <c r="G35" s="3" t="s">
        <v>1964</v>
      </c>
      <c r="H35" s="5">
        <v>349387.5</v>
      </c>
      <c r="I35" s="162">
        <f t="shared" si="3"/>
        <v>350000</v>
      </c>
    </row>
    <row r="36" spans="1:9">
      <c r="A36" s="161">
        <v>32</v>
      </c>
      <c r="B36" s="3" t="s">
        <v>1599</v>
      </c>
      <c r="C36" s="5">
        <v>889350.00000000012</v>
      </c>
      <c r="D36" s="162">
        <f t="shared" si="1"/>
        <v>890000</v>
      </c>
      <c r="F36" s="161">
        <v>402</v>
      </c>
      <c r="G36" s="3" t="s">
        <v>1965</v>
      </c>
      <c r="H36" s="5">
        <v>418962.50000000006</v>
      </c>
      <c r="I36" s="162">
        <f t="shared" si="3"/>
        <v>419000</v>
      </c>
    </row>
    <row r="37" spans="1:9">
      <c r="A37" s="161">
        <v>33</v>
      </c>
      <c r="B37" s="3" t="s">
        <v>1600</v>
      </c>
      <c r="C37" s="5">
        <v>253344.30000000002</v>
      </c>
      <c r="D37" s="162">
        <f t="shared" si="1"/>
        <v>254000</v>
      </c>
      <c r="F37" s="161">
        <v>403</v>
      </c>
      <c r="G37" s="3" t="s">
        <v>1966</v>
      </c>
      <c r="H37" s="5">
        <v>629200</v>
      </c>
      <c r="I37" s="162">
        <f t="shared" si="3"/>
        <v>630000</v>
      </c>
    </row>
    <row r="38" spans="1:9" ht="30">
      <c r="A38" s="161">
        <v>34</v>
      </c>
      <c r="B38" s="3" t="s">
        <v>1601</v>
      </c>
      <c r="C38" s="5">
        <v>45375.000000000007</v>
      </c>
      <c r="D38" s="162">
        <f t="shared" si="1"/>
        <v>46000</v>
      </c>
      <c r="F38" s="161">
        <v>404</v>
      </c>
      <c r="G38" s="3" t="s">
        <v>1967</v>
      </c>
      <c r="H38" s="5">
        <v>1048162.5000000001</v>
      </c>
      <c r="I38" s="162">
        <f t="shared" si="3"/>
        <v>1049000</v>
      </c>
    </row>
    <row r="39" spans="1:9" ht="30">
      <c r="A39" s="161">
        <v>35</v>
      </c>
      <c r="B39" s="3" t="s">
        <v>1602</v>
      </c>
      <c r="C39" s="5">
        <v>127050.00000000001</v>
      </c>
      <c r="D39" s="162">
        <f t="shared" si="1"/>
        <v>128000</v>
      </c>
      <c r="F39" s="161">
        <v>405</v>
      </c>
      <c r="G39" s="3" t="s">
        <v>1968</v>
      </c>
      <c r="H39" s="5">
        <v>349387.5</v>
      </c>
      <c r="I39" s="162">
        <f t="shared" si="3"/>
        <v>350000</v>
      </c>
    </row>
    <row r="40" spans="1:9" ht="30">
      <c r="A40" s="161">
        <v>36</v>
      </c>
      <c r="B40" s="3" t="s">
        <v>1603</v>
      </c>
      <c r="C40" s="5">
        <v>558113.60000000009</v>
      </c>
      <c r="D40" s="162">
        <f t="shared" si="1"/>
        <v>559000</v>
      </c>
      <c r="F40" s="161">
        <v>406</v>
      </c>
      <c r="G40" s="3" t="s">
        <v>1969</v>
      </c>
      <c r="H40" s="5">
        <v>698775</v>
      </c>
      <c r="I40" s="162">
        <f t="shared" si="3"/>
        <v>699000</v>
      </c>
    </row>
    <row r="41" spans="1:9">
      <c r="A41" s="161">
        <v>37</v>
      </c>
      <c r="B41" s="3" t="s">
        <v>1604</v>
      </c>
      <c r="C41" s="5">
        <v>558112.5</v>
      </c>
      <c r="D41" s="162">
        <f t="shared" si="1"/>
        <v>559000</v>
      </c>
      <c r="F41" s="161">
        <v>407</v>
      </c>
      <c r="G41" s="3" t="s">
        <v>1970</v>
      </c>
      <c r="H41" s="5">
        <v>558869.30000000005</v>
      </c>
      <c r="I41" s="162">
        <f t="shared" si="3"/>
        <v>559000</v>
      </c>
    </row>
    <row r="42" spans="1:9">
      <c r="A42" s="161">
        <v>38</v>
      </c>
      <c r="B42" s="3" t="s">
        <v>0</v>
      </c>
      <c r="C42" s="5">
        <v>1057237.5</v>
      </c>
      <c r="D42" s="162">
        <f t="shared" si="1"/>
        <v>1058000</v>
      </c>
      <c r="F42" s="161">
        <v>408</v>
      </c>
      <c r="G42" s="3" t="s">
        <v>1971</v>
      </c>
      <c r="H42" s="5">
        <v>698775</v>
      </c>
      <c r="I42" s="162">
        <f t="shared" si="3"/>
        <v>699000</v>
      </c>
    </row>
    <row r="43" spans="1:9">
      <c r="A43" s="161">
        <v>39</v>
      </c>
      <c r="B43" s="3" t="s">
        <v>1605</v>
      </c>
      <c r="C43" s="5">
        <v>253344.30000000002</v>
      </c>
      <c r="D43" s="162">
        <f t="shared" si="1"/>
        <v>254000</v>
      </c>
      <c r="F43" s="161">
        <v>409</v>
      </c>
      <c r="G43" s="3" t="s">
        <v>1972</v>
      </c>
      <c r="H43" s="5">
        <v>1397550</v>
      </c>
      <c r="I43" s="162">
        <f t="shared" si="3"/>
        <v>1398000</v>
      </c>
    </row>
    <row r="44" spans="1:9">
      <c r="A44" s="161">
        <v>40</v>
      </c>
      <c r="B44" s="3" t="s">
        <v>1606</v>
      </c>
      <c r="C44" s="5">
        <v>253344.30000000002</v>
      </c>
      <c r="D44" s="162">
        <f t="shared" si="1"/>
        <v>254000</v>
      </c>
      <c r="F44" s="161">
        <v>410</v>
      </c>
      <c r="G44" s="3" t="s">
        <v>1973</v>
      </c>
      <c r="H44" s="5">
        <v>838681.8</v>
      </c>
      <c r="I44" s="162">
        <f t="shared" si="3"/>
        <v>839000</v>
      </c>
    </row>
    <row r="45" spans="1:9">
      <c r="A45" s="161">
        <v>41</v>
      </c>
      <c r="B45" s="3" t="s">
        <v>1607</v>
      </c>
      <c r="C45" s="5">
        <v>887837.50000000012</v>
      </c>
      <c r="D45" s="162">
        <f t="shared" si="1"/>
        <v>888000</v>
      </c>
      <c r="F45" s="161">
        <v>411</v>
      </c>
      <c r="G45" s="3" t="s">
        <v>1974</v>
      </c>
      <c r="H45" s="5">
        <v>440000.00000000006</v>
      </c>
      <c r="I45" s="162">
        <f t="shared" si="3"/>
        <v>440000</v>
      </c>
    </row>
    <row r="46" spans="1:9">
      <c r="A46" s="161">
        <v>42</v>
      </c>
      <c r="B46" s="3" t="s">
        <v>1608</v>
      </c>
      <c r="C46" s="5">
        <v>156544.30000000002</v>
      </c>
      <c r="D46" s="162">
        <f t="shared" si="1"/>
        <v>157000</v>
      </c>
      <c r="F46" s="161">
        <v>412</v>
      </c>
      <c r="G46" s="3" t="s">
        <v>1975</v>
      </c>
      <c r="H46" s="5">
        <v>558869.30000000005</v>
      </c>
      <c r="I46" s="162">
        <f t="shared" si="3"/>
        <v>559000</v>
      </c>
    </row>
    <row r="47" spans="1:9">
      <c r="A47" s="161">
        <v>43</v>
      </c>
      <c r="B47" s="3" t="s">
        <v>1609</v>
      </c>
      <c r="C47" s="5">
        <v>634494.30000000005</v>
      </c>
      <c r="D47" s="162">
        <f t="shared" si="1"/>
        <v>635000</v>
      </c>
      <c r="F47" s="161">
        <v>413</v>
      </c>
      <c r="G47" s="3" t="s">
        <v>1976</v>
      </c>
      <c r="H47" s="5">
        <v>279812.5</v>
      </c>
      <c r="I47" s="162">
        <f t="shared" si="3"/>
        <v>280000</v>
      </c>
    </row>
    <row r="48" spans="1:9">
      <c r="A48" s="161">
        <v>44</v>
      </c>
      <c r="B48" s="3" t="s">
        <v>1610</v>
      </c>
      <c r="C48" s="5">
        <v>1268231.8</v>
      </c>
      <c r="D48" s="162">
        <f t="shared" si="1"/>
        <v>1269000</v>
      </c>
      <c r="F48" s="161">
        <v>414</v>
      </c>
      <c r="G48" s="3" t="s">
        <v>1977</v>
      </c>
      <c r="H48" s="5">
        <v>418962.50000000006</v>
      </c>
      <c r="I48" s="162">
        <f t="shared" si="3"/>
        <v>419000</v>
      </c>
    </row>
    <row r="49" spans="1:9">
      <c r="A49" s="161">
        <v>45</v>
      </c>
      <c r="B49" s="3" t="s">
        <v>1611</v>
      </c>
      <c r="C49" s="5">
        <v>1100000</v>
      </c>
      <c r="D49" s="162">
        <f t="shared" si="1"/>
        <v>1100000</v>
      </c>
      <c r="F49" s="161">
        <v>415</v>
      </c>
      <c r="G49" s="3" t="s">
        <v>1978</v>
      </c>
      <c r="H49" s="5">
        <v>8385300.0000000009</v>
      </c>
      <c r="I49" s="162">
        <f t="shared" si="3"/>
        <v>8386000</v>
      </c>
    </row>
    <row r="50" spans="1:9">
      <c r="A50" s="161">
        <v>46</v>
      </c>
      <c r="B50" s="3" t="s">
        <v>1612</v>
      </c>
      <c r="C50" s="5">
        <v>165000</v>
      </c>
      <c r="D50" s="162">
        <f t="shared" si="1"/>
        <v>165000</v>
      </c>
      <c r="F50" s="161">
        <v>416</v>
      </c>
      <c r="G50" s="3" t="s">
        <v>1979</v>
      </c>
      <c r="H50" s="5">
        <v>43560</v>
      </c>
      <c r="I50" s="162">
        <f t="shared" si="3"/>
        <v>44000</v>
      </c>
    </row>
    <row r="51" spans="1:9">
      <c r="A51" s="161">
        <v>47</v>
      </c>
      <c r="B51" s="3" t="s">
        <v>1613</v>
      </c>
      <c r="C51" s="5">
        <v>191331.80000000002</v>
      </c>
      <c r="D51" s="162">
        <f t="shared" si="1"/>
        <v>192000</v>
      </c>
      <c r="F51" s="161">
        <v>417</v>
      </c>
      <c r="G51" s="3" t="s">
        <v>1980</v>
      </c>
      <c r="H51" s="5">
        <v>127655.00000000001</v>
      </c>
      <c r="I51" s="162">
        <f t="shared" si="3"/>
        <v>128000</v>
      </c>
    </row>
    <row r="52" spans="1:9">
      <c r="A52" s="161">
        <v>48</v>
      </c>
      <c r="B52" s="3" t="s">
        <v>1614</v>
      </c>
      <c r="C52" s="5">
        <v>691969.3</v>
      </c>
      <c r="D52" s="162">
        <f t="shared" si="1"/>
        <v>692000</v>
      </c>
      <c r="F52" s="161">
        <v>418</v>
      </c>
      <c r="G52" s="3" t="s">
        <v>1981</v>
      </c>
      <c r="H52" s="5">
        <v>110110.00000000001</v>
      </c>
      <c r="I52" s="162">
        <f t="shared" si="3"/>
        <v>111000</v>
      </c>
    </row>
    <row r="53" spans="1:9">
      <c r="A53" s="161">
        <v>49</v>
      </c>
      <c r="B53" s="3" t="s">
        <v>1615</v>
      </c>
      <c r="C53" s="5">
        <v>41595.4</v>
      </c>
      <c r="D53" s="162">
        <f t="shared" si="1"/>
        <v>42000</v>
      </c>
      <c r="F53" s="161">
        <v>419</v>
      </c>
      <c r="G53" s="3" t="s">
        <v>1982</v>
      </c>
      <c r="H53" s="5">
        <v>220220.00000000003</v>
      </c>
      <c r="I53" s="162">
        <f t="shared" si="3"/>
        <v>221000</v>
      </c>
    </row>
    <row r="54" spans="1:9">
      <c r="A54" s="161">
        <v>50</v>
      </c>
      <c r="B54" s="3" t="s">
        <v>1616</v>
      </c>
      <c r="C54" s="5">
        <v>41594.300000000003</v>
      </c>
      <c r="D54" s="162">
        <f t="shared" si="1"/>
        <v>42000</v>
      </c>
      <c r="F54" s="161">
        <v>420</v>
      </c>
      <c r="G54" s="3" t="s">
        <v>1983</v>
      </c>
      <c r="H54" s="5">
        <v>110110.00000000001</v>
      </c>
      <c r="I54" s="162">
        <f t="shared" si="3"/>
        <v>111000</v>
      </c>
    </row>
    <row r="55" spans="1:9">
      <c r="A55" s="161">
        <v>51</v>
      </c>
      <c r="B55" s="3" t="s">
        <v>1617</v>
      </c>
      <c r="C55" s="5">
        <v>254100.00000000003</v>
      </c>
      <c r="D55" s="162">
        <f t="shared" si="1"/>
        <v>255000</v>
      </c>
      <c r="F55" s="161">
        <v>421</v>
      </c>
      <c r="G55" s="3" t="s">
        <v>1984</v>
      </c>
      <c r="H55" s="5">
        <v>150645</v>
      </c>
      <c r="I55" s="162">
        <f t="shared" si="3"/>
        <v>151000</v>
      </c>
    </row>
    <row r="56" spans="1:9">
      <c r="A56" s="161">
        <v>52</v>
      </c>
      <c r="B56" s="3" t="s">
        <v>1618</v>
      </c>
      <c r="C56" s="5">
        <v>64281.8</v>
      </c>
      <c r="D56" s="162">
        <f t="shared" si="1"/>
        <v>65000</v>
      </c>
      <c r="F56" s="161">
        <v>422</v>
      </c>
      <c r="G56" s="3" t="s">
        <v>1985</v>
      </c>
      <c r="H56" s="5">
        <v>60500.000000000007</v>
      </c>
      <c r="I56" s="162">
        <f t="shared" si="3"/>
        <v>61000</v>
      </c>
    </row>
    <row r="57" spans="1:9">
      <c r="A57" s="161">
        <v>53</v>
      </c>
      <c r="B57" s="3" t="s">
        <v>1619</v>
      </c>
      <c r="C57" s="5">
        <v>64281.8</v>
      </c>
      <c r="D57" s="162">
        <f t="shared" si="1"/>
        <v>65000</v>
      </c>
      <c r="F57" s="161">
        <v>423</v>
      </c>
      <c r="G57" s="3" t="s">
        <v>1986</v>
      </c>
      <c r="H57" s="5">
        <v>99825.000000000015</v>
      </c>
      <c r="I57" s="162">
        <f t="shared" si="3"/>
        <v>100000</v>
      </c>
    </row>
    <row r="58" spans="1:9">
      <c r="A58" s="161">
        <v>54</v>
      </c>
      <c r="B58" s="3" t="s">
        <v>1620</v>
      </c>
      <c r="C58" s="5">
        <v>4757569.3000000007</v>
      </c>
      <c r="D58" s="162">
        <f t="shared" si="1"/>
        <v>4758000</v>
      </c>
      <c r="F58" s="161">
        <v>424</v>
      </c>
      <c r="G58" s="5" t="s">
        <v>1987</v>
      </c>
      <c r="H58" s="5">
        <v>220220.00000000003</v>
      </c>
      <c r="I58" s="162">
        <f t="shared" si="3"/>
        <v>221000</v>
      </c>
    </row>
    <row r="59" spans="1:9">
      <c r="A59" s="161">
        <v>55</v>
      </c>
      <c r="B59" s="3" t="s">
        <v>1621</v>
      </c>
      <c r="C59" s="5">
        <v>8766450</v>
      </c>
      <c r="D59" s="162">
        <f t="shared" si="1"/>
        <v>8767000</v>
      </c>
      <c r="F59" s="161">
        <v>425</v>
      </c>
      <c r="G59" s="3" t="s">
        <v>1988</v>
      </c>
      <c r="H59" s="5">
        <v>1099285</v>
      </c>
      <c r="I59" s="162">
        <f t="shared" si="3"/>
        <v>1100000</v>
      </c>
    </row>
    <row r="60" spans="1:9">
      <c r="A60" s="161">
        <v>56</v>
      </c>
      <c r="B60" s="3" t="s">
        <v>1622</v>
      </c>
      <c r="C60" s="5">
        <v>12577950.000000002</v>
      </c>
      <c r="D60" s="162">
        <f t="shared" si="1"/>
        <v>12578000</v>
      </c>
      <c r="F60" s="161">
        <v>426</v>
      </c>
      <c r="G60" s="3" t="s">
        <v>1989</v>
      </c>
      <c r="H60" s="5">
        <v>1319505</v>
      </c>
      <c r="I60" s="162">
        <f t="shared" si="3"/>
        <v>1320000</v>
      </c>
    </row>
    <row r="61" spans="1:9">
      <c r="A61" s="161">
        <v>57</v>
      </c>
      <c r="B61" s="3" t="s">
        <v>1623</v>
      </c>
      <c r="C61" s="5">
        <v>130831.80000000002</v>
      </c>
      <c r="D61" s="162">
        <f t="shared" si="1"/>
        <v>131000</v>
      </c>
      <c r="F61" s="161">
        <v>427</v>
      </c>
      <c r="G61" s="3" t="s">
        <v>1990</v>
      </c>
      <c r="H61" s="5">
        <v>90145</v>
      </c>
      <c r="I61" s="162">
        <f t="shared" si="3"/>
        <v>91000</v>
      </c>
    </row>
    <row r="62" spans="1:9">
      <c r="A62" s="161">
        <v>58</v>
      </c>
      <c r="B62" s="3" t="s">
        <v>1624</v>
      </c>
      <c r="C62" s="5">
        <v>130831.80000000002</v>
      </c>
      <c r="D62" s="162">
        <f t="shared" si="1"/>
        <v>131000</v>
      </c>
      <c r="F62" s="161">
        <v>428</v>
      </c>
      <c r="G62" s="3" t="s">
        <v>1991</v>
      </c>
      <c r="H62" s="5">
        <v>110110.00000000001</v>
      </c>
      <c r="I62" s="162">
        <f t="shared" si="3"/>
        <v>111000</v>
      </c>
    </row>
    <row r="63" spans="1:9">
      <c r="A63" s="161">
        <v>59</v>
      </c>
      <c r="B63" s="3" t="s">
        <v>1625</v>
      </c>
      <c r="C63" s="5">
        <v>238219.30000000002</v>
      </c>
      <c r="D63" s="162">
        <f t="shared" si="1"/>
        <v>239000</v>
      </c>
      <c r="F63" s="161">
        <v>429</v>
      </c>
      <c r="G63" s="3" t="s">
        <v>1992</v>
      </c>
      <c r="H63" s="5">
        <v>60500.000000000007</v>
      </c>
      <c r="I63" s="162">
        <f t="shared" si="3"/>
        <v>61000</v>
      </c>
    </row>
    <row r="64" spans="1:9">
      <c r="A64" s="161">
        <v>60</v>
      </c>
      <c r="B64" s="3" t="s">
        <v>1626</v>
      </c>
      <c r="C64" s="5">
        <v>158056.80000000002</v>
      </c>
      <c r="D64" s="162">
        <f t="shared" si="1"/>
        <v>159000</v>
      </c>
      <c r="F64" s="161">
        <v>430</v>
      </c>
      <c r="G64" s="3" t="s">
        <v>1993</v>
      </c>
      <c r="H64" s="5">
        <v>60500.000000000007</v>
      </c>
      <c r="I64" s="162">
        <f t="shared" si="3"/>
        <v>61000</v>
      </c>
    </row>
    <row r="65" spans="1:9">
      <c r="A65" s="161">
        <v>61</v>
      </c>
      <c r="B65" s="3" t="s">
        <v>1627</v>
      </c>
      <c r="C65" s="5">
        <v>130831.80000000002</v>
      </c>
      <c r="D65" s="162">
        <f t="shared" si="1"/>
        <v>131000</v>
      </c>
      <c r="F65" s="161">
        <v>431</v>
      </c>
      <c r="G65" s="3" t="s">
        <v>1994</v>
      </c>
      <c r="H65" s="5">
        <v>96800.000000000015</v>
      </c>
      <c r="I65" s="162">
        <f t="shared" si="3"/>
        <v>97000</v>
      </c>
    </row>
    <row r="66" spans="1:9">
      <c r="A66" s="161">
        <v>62</v>
      </c>
      <c r="B66" s="3" t="s">
        <v>1628</v>
      </c>
      <c r="C66" s="5">
        <v>77894.3</v>
      </c>
      <c r="D66" s="162">
        <f t="shared" si="1"/>
        <v>78000</v>
      </c>
      <c r="F66" s="161">
        <v>432</v>
      </c>
      <c r="G66" s="3" t="s">
        <v>1995</v>
      </c>
      <c r="H66" s="5">
        <v>96800.000000000015</v>
      </c>
      <c r="I66" s="162">
        <f t="shared" si="3"/>
        <v>97000</v>
      </c>
    </row>
    <row r="67" spans="1:9">
      <c r="A67" s="161">
        <v>63</v>
      </c>
      <c r="B67" s="3" t="s">
        <v>1629</v>
      </c>
      <c r="C67" s="5">
        <v>825825.00000000012</v>
      </c>
      <c r="D67" s="162">
        <f t="shared" si="1"/>
        <v>826000</v>
      </c>
      <c r="F67" s="161">
        <v>433</v>
      </c>
      <c r="G67" s="3" t="s">
        <v>1996</v>
      </c>
      <c r="H67" s="5">
        <v>33880</v>
      </c>
      <c r="I67" s="162">
        <f t="shared" si="3"/>
        <v>34000</v>
      </c>
    </row>
    <row r="68" spans="1:9">
      <c r="A68" s="161">
        <v>64</v>
      </c>
      <c r="B68" s="3" t="s">
        <v>1630</v>
      </c>
      <c r="C68" s="5">
        <v>396275.00000000006</v>
      </c>
      <c r="D68" s="162">
        <f t="shared" si="1"/>
        <v>397000</v>
      </c>
      <c r="F68" s="161">
        <v>434</v>
      </c>
      <c r="G68" s="3" t="s">
        <v>1997</v>
      </c>
      <c r="H68" s="5">
        <v>66550</v>
      </c>
      <c r="I68" s="162">
        <f t="shared" si="3"/>
        <v>67000</v>
      </c>
    </row>
    <row r="69" spans="1:9">
      <c r="A69" s="161">
        <v>65</v>
      </c>
      <c r="B69" s="3" t="s">
        <v>1631</v>
      </c>
      <c r="C69" s="5">
        <v>1902725.0000000002</v>
      </c>
      <c r="D69" s="162">
        <f t="shared" si="1"/>
        <v>1903000</v>
      </c>
      <c r="F69" s="161">
        <v>435</v>
      </c>
      <c r="G69" s="3" t="s">
        <v>1998</v>
      </c>
      <c r="H69" s="5">
        <v>185900.00000000003</v>
      </c>
      <c r="I69" s="162">
        <f t="shared" si="3"/>
        <v>186000</v>
      </c>
    </row>
    <row r="70" spans="1:9">
      <c r="A70" s="161">
        <v>66</v>
      </c>
      <c r="B70" s="3" t="s">
        <v>1632</v>
      </c>
      <c r="C70" s="5">
        <v>173937.5</v>
      </c>
      <c r="D70" s="162">
        <f t="shared" ref="D70:D133" si="4">ROUNDUP(C70,-3)</f>
        <v>174000</v>
      </c>
      <c r="F70" s="161">
        <v>436</v>
      </c>
      <c r="G70" s="3" t="s">
        <v>1999</v>
      </c>
      <c r="H70" s="5">
        <v>13915.000000000002</v>
      </c>
      <c r="I70" s="162">
        <f t="shared" si="3"/>
        <v>14000</v>
      </c>
    </row>
    <row r="71" spans="1:9">
      <c r="A71" s="161">
        <v>67</v>
      </c>
      <c r="B71" s="3" t="s">
        <v>1633</v>
      </c>
      <c r="C71" s="5">
        <v>87725</v>
      </c>
      <c r="D71" s="162">
        <f t="shared" si="4"/>
        <v>88000</v>
      </c>
      <c r="F71" s="161">
        <v>437</v>
      </c>
      <c r="G71" s="3" t="s">
        <v>2000</v>
      </c>
      <c r="H71" s="5">
        <v>36300</v>
      </c>
      <c r="I71" s="162">
        <f t="shared" si="3"/>
        <v>37000</v>
      </c>
    </row>
    <row r="72" spans="1:9">
      <c r="A72" s="161">
        <v>68</v>
      </c>
      <c r="B72" s="3" t="s">
        <v>1634</v>
      </c>
      <c r="C72" s="5">
        <v>537694.30000000005</v>
      </c>
      <c r="D72" s="162">
        <f t="shared" si="4"/>
        <v>538000</v>
      </c>
      <c r="F72" s="161">
        <v>438</v>
      </c>
      <c r="G72" s="3" t="s">
        <v>2001</v>
      </c>
      <c r="H72" s="5">
        <v>99825.000000000015</v>
      </c>
      <c r="I72" s="162">
        <f t="shared" si="3"/>
        <v>100000</v>
      </c>
    </row>
    <row r="73" spans="1:9">
      <c r="A73" s="161">
        <v>69</v>
      </c>
      <c r="B73" s="3" t="s">
        <v>1635</v>
      </c>
      <c r="C73" s="5">
        <v>130831.80000000002</v>
      </c>
      <c r="D73" s="162">
        <f t="shared" si="4"/>
        <v>131000</v>
      </c>
      <c r="F73" s="161">
        <v>439</v>
      </c>
      <c r="G73" s="3" t="s">
        <v>2002</v>
      </c>
      <c r="H73" s="5">
        <v>22385</v>
      </c>
      <c r="I73" s="162">
        <f t="shared" si="3"/>
        <v>23000</v>
      </c>
    </row>
    <row r="74" spans="1:9">
      <c r="A74" s="161">
        <v>70</v>
      </c>
      <c r="B74" s="3" t="s">
        <v>1636</v>
      </c>
      <c r="C74" s="5">
        <v>127050.00000000001</v>
      </c>
      <c r="D74" s="162">
        <f t="shared" si="4"/>
        <v>128000</v>
      </c>
      <c r="F74" s="161">
        <v>440</v>
      </c>
      <c r="G74" s="3" t="s">
        <v>2003</v>
      </c>
      <c r="H74" s="5">
        <v>22385</v>
      </c>
      <c r="I74" s="162">
        <f t="shared" si="3"/>
        <v>23000</v>
      </c>
    </row>
    <row r="75" spans="1:9">
      <c r="A75" s="161">
        <v>71</v>
      </c>
      <c r="B75" s="3" t="s">
        <v>1637</v>
      </c>
      <c r="C75" s="5">
        <v>553575</v>
      </c>
      <c r="D75" s="162">
        <f t="shared" si="4"/>
        <v>554000</v>
      </c>
      <c r="F75" s="161">
        <v>441</v>
      </c>
      <c r="G75" s="3" t="s">
        <v>2004</v>
      </c>
      <c r="H75" s="5">
        <v>209935.00000000003</v>
      </c>
      <c r="I75" s="162">
        <f t="shared" si="3"/>
        <v>210000</v>
      </c>
    </row>
    <row r="76" spans="1:9">
      <c r="A76" s="161">
        <v>72</v>
      </c>
      <c r="B76" s="3" t="s">
        <v>391</v>
      </c>
      <c r="C76" s="5">
        <v>330000</v>
      </c>
      <c r="D76" s="162">
        <f t="shared" si="4"/>
        <v>330000</v>
      </c>
      <c r="F76" s="161">
        <v>442</v>
      </c>
      <c r="G76" s="3" t="s">
        <v>2005</v>
      </c>
      <c r="H76" s="5">
        <v>53796.600000000006</v>
      </c>
      <c r="I76" s="162">
        <f t="shared" si="3"/>
        <v>54000</v>
      </c>
    </row>
    <row r="77" spans="1:9">
      <c r="A77" s="161">
        <v>73</v>
      </c>
      <c r="B77" s="3" t="s">
        <v>1638</v>
      </c>
      <c r="C77" s="5">
        <v>152763.6</v>
      </c>
      <c r="D77" s="162">
        <f t="shared" si="4"/>
        <v>153000</v>
      </c>
      <c r="F77" s="161">
        <v>443</v>
      </c>
      <c r="G77" s="3" t="s">
        <v>2006</v>
      </c>
      <c r="H77" s="5">
        <v>134491.5</v>
      </c>
      <c r="I77" s="162">
        <f t="shared" si="3"/>
        <v>135000</v>
      </c>
    </row>
    <row r="78" spans="1:9">
      <c r="A78" s="161">
        <v>74</v>
      </c>
      <c r="B78" s="3" t="s">
        <v>1639</v>
      </c>
      <c r="C78" s="5">
        <v>152762.5</v>
      </c>
      <c r="D78" s="162">
        <f t="shared" si="4"/>
        <v>153000</v>
      </c>
      <c r="F78" s="161">
        <v>444</v>
      </c>
      <c r="G78" s="3" t="s">
        <v>2007</v>
      </c>
      <c r="H78" s="5">
        <v>178874.30000000002</v>
      </c>
      <c r="I78" s="162">
        <f t="shared" si="3"/>
        <v>179000</v>
      </c>
    </row>
    <row r="79" spans="1:9">
      <c r="A79" s="161">
        <v>75</v>
      </c>
      <c r="B79" s="3" t="s">
        <v>1640</v>
      </c>
      <c r="C79" s="5">
        <v>1660725.0000000002</v>
      </c>
      <c r="D79" s="162">
        <f t="shared" si="4"/>
        <v>1661000</v>
      </c>
      <c r="F79" s="161">
        <v>445</v>
      </c>
      <c r="G79" s="3" t="s">
        <v>2008</v>
      </c>
      <c r="H79" s="5">
        <v>447860.60000000003</v>
      </c>
      <c r="I79" s="162">
        <f t="shared" si="3"/>
        <v>448000</v>
      </c>
    </row>
    <row r="80" spans="1:9">
      <c r="A80" s="161">
        <v>76</v>
      </c>
      <c r="B80" s="3" t="s">
        <v>1641</v>
      </c>
      <c r="C80" s="5">
        <v>483153.00000000006</v>
      </c>
      <c r="D80" s="162">
        <f t="shared" si="4"/>
        <v>484000</v>
      </c>
      <c r="F80" s="161">
        <v>446</v>
      </c>
      <c r="G80" s="3" t="s">
        <v>2009</v>
      </c>
      <c r="H80" s="5">
        <v>537966</v>
      </c>
      <c r="I80" s="162">
        <f t="shared" si="3"/>
        <v>538000</v>
      </c>
    </row>
    <row r="81" spans="1:9">
      <c r="A81" s="161">
        <v>77</v>
      </c>
      <c r="B81" s="3" t="s">
        <v>1642</v>
      </c>
      <c r="C81" s="5">
        <v>691969.3</v>
      </c>
      <c r="D81" s="162">
        <f t="shared" si="4"/>
        <v>692000</v>
      </c>
      <c r="F81" s="161">
        <v>447</v>
      </c>
      <c r="G81" s="3" t="s">
        <v>2010</v>
      </c>
      <c r="H81" s="5">
        <v>423648.50000000006</v>
      </c>
      <c r="I81" s="162">
        <f t="shared" si="3"/>
        <v>424000</v>
      </c>
    </row>
    <row r="82" spans="1:9">
      <c r="A82" s="161">
        <v>78</v>
      </c>
      <c r="B82" s="3" t="s">
        <v>1643</v>
      </c>
      <c r="C82" s="5">
        <v>1014134.0000000001</v>
      </c>
      <c r="D82" s="162">
        <f t="shared" si="4"/>
        <v>1015000</v>
      </c>
      <c r="F82" s="161">
        <v>448</v>
      </c>
      <c r="G82" s="3" t="s">
        <v>2011</v>
      </c>
      <c r="H82" s="5">
        <v>1129728.6000000001</v>
      </c>
      <c r="I82" s="162">
        <f t="shared" si="3"/>
        <v>1130000</v>
      </c>
    </row>
    <row r="83" spans="1:9">
      <c r="A83" s="161">
        <v>79</v>
      </c>
      <c r="B83" s="3" t="s">
        <v>1644</v>
      </c>
      <c r="C83" s="5">
        <v>1014131.8</v>
      </c>
      <c r="D83" s="162">
        <f t="shared" si="4"/>
        <v>1015000</v>
      </c>
      <c r="F83" s="161">
        <v>449</v>
      </c>
      <c r="G83" s="3" t="s">
        <v>2012</v>
      </c>
      <c r="H83" s="5">
        <v>212496.90000000002</v>
      </c>
      <c r="I83" s="162">
        <f t="shared" si="3"/>
        <v>213000</v>
      </c>
    </row>
    <row r="84" spans="1:9">
      <c r="A84" s="161">
        <v>80</v>
      </c>
      <c r="B84" s="3" t="s">
        <v>1645</v>
      </c>
      <c r="C84" s="5">
        <v>3805450.0000000005</v>
      </c>
      <c r="D84" s="162">
        <f t="shared" si="4"/>
        <v>3806000</v>
      </c>
      <c r="F84" s="161">
        <v>450</v>
      </c>
      <c r="G84" s="3" t="s">
        <v>2013</v>
      </c>
      <c r="H84" s="5">
        <v>1435028.1</v>
      </c>
      <c r="I84" s="162">
        <f t="shared" si="3"/>
        <v>1436000</v>
      </c>
    </row>
    <row r="85" spans="1:9">
      <c r="A85" s="161">
        <v>81</v>
      </c>
      <c r="B85" s="3" t="s">
        <v>1646</v>
      </c>
      <c r="C85" s="5">
        <v>507445.4</v>
      </c>
      <c r="D85" s="162">
        <f t="shared" si="4"/>
        <v>508000</v>
      </c>
      <c r="F85" s="161">
        <v>451</v>
      </c>
      <c r="G85" s="3" t="s">
        <v>2014</v>
      </c>
      <c r="H85" s="5">
        <v>143906.40000000002</v>
      </c>
      <c r="I85" s="162">
        <f t="shared" si="3"/>
        <v>144000</v>
      </c>
    </row>
    <row r="86" spans="1:9">
      <c r="A86" s="161">
        <v>82</v>
      </c>
      <c r="B86" s="3" t="s">
        <v>1647</v>
      </c>
      <c r="C86" s="5">
        <v>507444.30000000005</v>
      </c>
      <c r="D86" s="162">
        <f t="shared" si="4"/>
        <v>508000</v>
      </c>
      <c r="F86" s="161">
        <v>452</v>
      </c>
      <c r="G86" s="3" t="s">
        <v>2015</v>
      </c>
      <c r="H86" s="5">
        <v>80694.900000000009</v>
      </c>
      <c r="I86" s="162">
        <f t="shared" si="3"/>
        <v>81000</v>
      </c>
    </row>
    <row r="87" spans="1:9">
      <c r="A87" s="161">
        <v>83</v>
      </c>
      <c r="B87" s="3" t="s">
        <v>1648</v>
      </c>
      <c r="C87" s="5">
        <v>2536463.6</v>
      </c>
      <c r="D87" s="162">
        <f t="shared" si="4"/>
        <v>2537000</v>
      </c>
      <c r="F87" s="161">
        <v>453</v>
      </c>
      <c r="G87" s="3" t="s">
        <v>2016</v>
      </c>
      <c r="H87" s="5">
        <v>107593.20000000001</v>
      </c>
      <c r="I87" s="162">
        <f t="shared" si="3"/>
        <v>108000</v>
      </c>
    </row>
    <row r="88" spans="1:9">
      <c r="A88" s="161">
        <v>84</v>
      </c>
      <c r="B88" s="3" t="s">
        <v>1649</v>
      </c>
      <c r="C88" s="5">
        <v>2536462.5</v>
      </c>
      <c r="D88" s="162">
        <f t="shared" si="4"/>
        <v>2537000</v>
      </c>
      <c r="F88" s="161">
        <v>454</v>
      </c>
      <c r="G88" s="3" t="s">
        <v>2017</v>
      </c>
      <c r="H88" s="5">
        <v>430372.80000000005</v>
      </c>
      <c r="I88" s="162">
        <f t="shared" si="3"/>
        <v>431000</v>
      </c>
    </row>
    <row r="89" spans="1:9">
      <c r="A89" s="161">
        <v>85</v>
      </c>
      <c r="B89" s="3" t="s">
        <v>1650</v>
      </c>
      <c r="C89" s="5">
        <v>1268231.8</v>
      </c>
      <c r="D89" s="162">
        <f t="shared" si="4"/>
        <v>1269000</v>
      </c>
      <c r="F89" s="161">
        <v>455</v>
      </c>
      <c r="G89" s="3" t="s">
        <v>2018</v>
      </c>
      <c r="H89" s="5">
        <v>537966</v>
      </c>
      <c r="I89" s="162">
        <f t="shared" si="3"/>
        <v>538000</v>
      </c>
    </row>
    <row r="90" spans="1:9">
      <c r="A90" s="161">
        <v>86</v>
      </c>
      <c r="B90" s="3" t="s">
        <v>1651</v>
      </c>
      <c r="C90" s="5">
        <v>381150.00000000006</v>
      </c>
      <c r="D90" s="162">
        <f t="shared" si="4"/>
        <v>382000</v>
      </c>
      <c r="F90" s="161">
        <v>456</v>
      </c>
      <c r="G90" s="3" t="s">
        <v>2019</v>
      </c>
      <c r="H90" s="5">
        <v>134495.90000000002</v>
      </c>
      <c r="I90" s="162">
        <f t="shared" si="3"/>
        <v>135000</v>
      </c>
    </row>
    <row r="91" spans="1:9">
      <c r="A91" s="161">
        <v>87</v>
      </c>
      <c r="B91" s="3" t="s">
        <v>1652</v>
      </c>
      <c r="C91" s="5">
        <v>888140.00000000012</v>
      </c>
      <c r="D91" s="162">
        <f t="shared" si="4"/>
        <v>889000</v>
      </c>
      <c r="F91" s="161">
        <v>457</v>
      </c>
      <c r="G91" s="3" t="s">
        <v>2020</v>
      </c>
      <c r="H91" s="5">
        <v>268987.40000000002</v>
      </c>
      <c r="I91" s="162">
        <f t="shared" ref="I91:I154" si="5">ROUNDUP(H91,-3)</f>
        <v>269000</v>
      </c>
    </row>
    <row r="92" spans="1:9">
      <c r="A92" s="161">
        <v>88</v>
      </c>
      <c r="B92" s="3" t="s">
        <v>1653</v>
      </c>
      <c r="C92" s="5">
        <v>852324.00000000012</v>
      </c>
      <c r="D92" s="162">
        <f t="shared" si="4"/>
        <v>853000</v>
      </c>
      <c r="F92" s="161">
        <v>458</v>
      </c>
      <c r="G92" s="3" t="s">
        <v>2021</v>
      </c>
      <c r="H92" s="5">
        <v>268983</v>
      </c>
      <c r="I92" s="162">
        <f t="shared" si="5"/>
        <v>269000</v>
      </c>
    </row>
    <row r="93" spans="1:9">
      <c r="A93" s="161">
        <v>89</v>
      </c>
      <c r="B93" s="3" t="s">
        <v>1654</v>
      </c>
      <c r="C93" s="5">
        <v>307794.30000000005</v>
      </c>
      <c r="D93" s="162">
        <f t="shared" si="4"/>
        <v>308000</v>
      </c>
      <c r="F93" s="161">
        <v>459</v>
      </c>
      <c r="G93" s="3" t="s">
        <v>2022</v>
      </c>
      <c r="H93" s="5">
        <v>537966</v>
      </c>
      <c r="I93" s="162">
        <f t="shared" si="5"/>
        <v>538000</v>
      </c>
    </row>
    <row r="94" spans="1:9">
      <c r="A94" s="161">
        <v>90</v>
      </c>
      <c r="B94" s="3" t="s">
        <v>1655</v>
      </c>
      <c r="C94" s="5">
        <v>191331.80000000002</v>
      </c>
      <c r="D94" s="162">
        <f t="shared" si="4"/>
        <v>192000</v>
      </c>
      <c r="F94" s="161">
        <v>460</v>
      </c>
      <c r="G94" s="3" t="s">
        <v>2023</v>
      </c>
      <c r="H94" s="5">
        <v>447860.60000000003</v>
      </c>
      <c r="I94" s="162">
        <f t="shared" si="5"/>
        <v>448000</v>
      </c>
    </row>
    <row r="95" spans="1:9">
      <c r="A95" s="161">
        <v>91</v>
      </c>
      <c r="B95" s="3" t="s">
        <v>1656</v>
      </c>
      <c r="C95" s="5">
        <v>140662.5</v>
      </c>
      <c r="D95" s="162">
        <f t="shared" si="4"/>
        <v>141000</v>
      </c>
      <c r="F95" s="161">
        <v>461</v>
      </c>
      <c r="G95" s="3" t="s">
        <v>2024</v>
      </c>
      <c r="H95" s="5">
        <v>178874.30000000002</v>
      </c>
      <c r="I95" s="162">
        <f t="shared" si="5"/>
        <v>179000</v>
      </c>
    </row>
    <row r="96" spans="1:9" ht="30">
      <c r="A96" s="161">
        <v>92</v>
      </c>
      <c r="B96" s="3" t="s">
        <v>1657</v>
      </c>
      <c r="C96" s="5">
        <v>698775</v>
      </c>
      <c r="D96" s="162">
        <f t="shared" si="4"/>
        <v>699000</v>
      </c>
      <c r="F96" s="161">
        <v>462</v>
      </c>
      <c r="G96" s="3" t="s">
        <v>2025</v>
      </c>
      <c r="H96" s="5">
        <v>1615246.6</v>
      </c>
      <c r="I96" s="162">
        <f t="shared" si="5"/>
        <v>1616000</v>
      </c>
    </row>
    <row r="97" spans="1:9">
      <c r="A97" s="161">
        <v>93</v>
      </c>
      <c r="B97" s="3" t="s">
        <v>1658</v>
      </c>
      <c r="C97" s="5">
        <v>1014131.8</v>
      </c>
      <c r="D97" s="162">
        <f t="shared" si="4"/>
        <v>1015000</v>
      </c>
      <c r="F97" s="161">
        <v>463</v>
      </c>
      <c r="G97" s="3" t="s">
        <v>2026</v>
      </c>
      <c r="H97" s="5">
        <v>268987.40000000002</v>
      </c>
      <c r="I97" s="162">
        <f t="shared" si="5"/>
        <v>269000</v>
      </c>
    </row>
    <row r="98" spans="1:9">
      <c r="A98" s="161">
        <v>94</v>
      </c>
      <c r="B98" s="3" t="s">
        <v>1659</v>
      </c>
      <c r="C98" s="5">
        <v>381150.00000000006</v>
      </c>
      <c r="D98" s="162">
        <f t="shared" si="4"/>
        <v>382000</v>
      </c>
      <c r="F98" s="161">
        <v>464</v>
      </c>
      <c r="G98" s="3" t="s">
        <v>2027</v>
      </c>
      <c r="H98" s="5">
        <v>178874.30000000002</v>
      </c>
      <c r="I98" s="162">
        <f t="shared" si="5"/>
        <v>179000</v>
      </c>
    </row>
    <row r="99" spans="1:9">
      <c r="A99" s="161">
        <v>95</v>
      </c>
      <c r="B99" s="3" t="s">
        <v>1660</v>
      </c>
      <c r="C99" s="5">
        <v>381150.00000000006</v>
      </c>
      <c r="D99" s="162">
        <f t="shared" si="4"/>
        <v>382000</v>
      </c>
      <c r="F99" s="161">
        <v>465</v>
      </c>
      <c r="G99" s="3" t="s">
        <v>2028</v>
      </c>
      <c r="H99" s="5">
        <v>628079.10000000009</v>
      </c>
      <c r="I99" s="162">
        <f t="shared" si="5"/>
        <v>629000</v>
      </c>
    </row>
    <row r="100" spans="1:9">
      <c r="A100" s="161">
        <v>96</v>
      </c>
      <c r="B100" s="3" t="s">
        <v>1661</v>
      </c>
      <c r="C100" s="5">
        <v>699380</v>
      </c>
      <c r="D100" s="162">
        <f t="shared" si="4"/>
        <v>700000</v>
      </c>
      <c r="F100" s="161">
        <v>466</v>
      </c>
      <c r="G100" s="3" t="s">
        <v>2029</v>
      </c>
      <c r="H100" s="5">
        <v>17224326.900000002</v>
      </c>
      <c r="I100" s="162">
        <f t="shared" si="5"/>
        <v>17225000</v>
      </c>
    </row>
    <row r="101" spans="1:9">
      <c r="A101" s="161">
        <v>97</v>
      </c>
      <c r="B101" s="3" t="s">
        <v>1662</v>
      </c>
      <c r="C101" s="5">
        <v>699380</v>
      </c>
      <c r="D101" s="162">
        <f t="shared" si="4"/>
        <v>700000</v>
      </c>
      <c r="F101" s="161">
        <v>467</v>
      </c>
      <c r="G101" s="3" t="s">
        <v>2030</v>
      </c>
      <c r="H101" s="5">
        <v>550000</v>
      </c>
      <c r="I101" s="162">
        <f t="shared" si="5"/>
        <v>550000</v>
      </c>
    </row>
    <row r="102" spans="1:9">
      <c r="A102" s="161">
        <v>98</v>
      </c>
      <c r="B102" s="3" t="s">
        <v>1663</v>
      </c>
      <c r="C102" s="5">
        <v>447700.00000000006</v>
      </c>
      <c r="D102" s="162">
        <f t="shared" si="4"/>
        <v>448000</v>
      </c>
      <c r="F102" s="161">
        <v>468</v>
      </c>
      <c r="G102" s="3" t="s">
        <v>2031</v>
      </c>
      <c r="H102" s="5">
        <v>447860.60000000003</v>
      </c>
      <c r="I102" s="162">
        <f t="shared" si="5"/>
        <v>448000</v>
      </c>
    </row>
    <row r="103" spans="1:9">
      <c r="A103" s="161">
        <v>99</v>
      </c>
      <c r="B103" s="3" t="s">
        <v>1664</v>
      </c>
      <c r="C103" s="5">
        <v>447700.00000000006</v>
      </c>
      <c r="D103" s="162">
        <f t="shared" si="4"/>
        <v>448000</v>
      </c>
      <c r="F103" s="161">
        <v>469</v>
      </c>
      <c r="G103" s="3" t="s">
        <v>2032</v>
      </c>
      <c r="H103" s="5">
        <v>268987.40000000002</v>
      </c>
      <c r="I103" s="162">
        <f t="shared" si="5"/>
        <v>269000</v>
      </c>
    </row>
    <row r="104" spans="1:9">
      <c r="A104" s="161">
        <v>100</v>
      </c>
      <c r="B104" s="3" t="s">
        <v>1665</v>
      </c>
      <c r="C104" s="5">
        <v>168645.40000000002</v>
      </c>
      <c r="D104" s="162">
        <f t="shared" si="4"/>
        <v>169000</v>
      </c>
      <c r="F104" s="161">
        <v>470</v>
      </c>
      <c r="G104" s="3" t="s">
        <v>2033</v>
      </c>
      <c r="H104" s="5">
        <v>880000.00000000012</v>
      </c>
      <c r="I104" s="162">
        <f t="shared" si="5"/>
        <v>880000</v>
      </c>
    </row>
    <row r="105" spans="1:9" ht="30">
      <c r="A105" s="161">
        <v>101</v>
      </c>
      <c r="B105" s="3" t="s">
        <v>1666</v>
      </c>
      <c r="C105" s="5">
        <v>168644.30000000002</v>
      </c>
      <c r="D105" s="162">
        <f t="shared" si="4"/>
        <v>169000</v>
      </c>
      <c r="F105" s="161">
        <v>471</v>
      </c>
      <c r="G105" s="3" t="s">
        <v>2034</v>
      </c>
      <c r="H105" s="5">
        <v>537966</v>
      </c>
      <c r="I105" s="162">
        <f t="shared" si="5"/>
        <v>538000</v>
      </c>
    </row>
    <row r="106" spans="1:9">
      <c r="A106" s="161">
        <v>102</v>
      </c>
      <c r="B106" s="3" t="s">
        <v>1667</v>
      </c>
      <c r="C106" s="5">
        <v>348480</v>
      </c>
      <c r="D106" s="162">
        <f t="shared" si="4"/>
        <v>349000</v>
      </c>
      <c r="F106" s="161">
        <v>472</v>
      </c>
      <c r="G106" s="3" t="s">
        <v>2035</v>
      </c>
      <c r="H106" s="5">
        <v>359092.80000000005</v>
      </c>
      <c r="I106" s="162">
        <f t="shared" si="5"/>
        <v>360000</v>
      </c>
    </row>
    <row r="107" spans="1:9" ht="30">
      <c r="A107" s="161">
        <v>103</v>
      </c>
      <c r="B107" s="3" t="s">
        <v>1668</v>
      </c>
      <c r="C107" s="5">
        <v>348480</v>
      </c>
      <c r="D107" s="162">
        <f t="shared" si="4"/>
        <v>349000</v>
      </c>
      <c r="F107" s="161">
        <v>473</v>
      </c>
      <c r="G107" s="3" t="s">
        <v>2036</v>
      </c>
      <c r="H107" s="5">
        <v>268987.40000000002</v>
      </c>
      <c r="I107" s="162">
        <f t="shared" si="5"/>
        <v>269000</v>
      </c>
    </row>
    <row r="108" spans="1:9" ht="30">
      <c r="A108" s="161">
        <v>104</v>
      </c>
      <c r="B108" s="3" t="s">
        <v>1669</v>
      </c>
      <c r="C108" s="5">
        <v>115706.8</v>
      </c>
      <c r="D108" s="162">
        <f t="shared" si="4"/>
        <v>116000</v>
      </c>
      <c r="F108" s="161">
        <v>474</v>
      </c>
      <c r="G108" s="3" t="s">
        <v>2037</v>
      </c>
      <c r="H108" s="5">
        <v>178874.30000000002</v>
      </c>
      <c r="I108" s="162">
        <f t="shared" si="5"/>
        <v>179000</v>
      </c>
    </row>
    <row r="109" spans="1:9" ht="30">
      <c r="A109" s="161">
        <v>105</v>
      </c>
      <c r="B109" s="3" t="s">
        <v>1670</v>
      </c>
      <c r="C109" s="5">
        <v>381150.00000000006</v>
      </c>
      <c r="D109" s="162">
        <f t="shared" si="4"/>
        <v>382000</v>
      </c>
      <c r="F109" s="161">
        <v>475</v>
      </c>
      <c r="G109" s="3" t="s">
        <v>2038</v>
      </c>
      <c r="H109" s="5">
        <v>628079.10000000009</v>
      </c>
      <c r="I109" s="162">
        <f t="shared" si="5"/>
        <v>629000</v>
      </c>
    </row>
    <row r="110" spans="1:9" ht="30">
      <c r="A110" s="161">
        <v>106</v>
      </c>
      <c r="B110" s="3" t="s">
        <v>1671</v>
      </c>
      <c r="C110" s="5">
        <v>191331.80000000002</v>
      </c>
      <c r="D110" s="162">
        <f t="shared" si="4"/>
        <v>192000</v>
      </c>
      <c r="F110" s="161">
        <v>476</v>
      </c>
      <c r="G110" s="3" t="s">
        <v>2039</v>
      </c>
      <c r="H110" s="5">
        <v>628079.10000000009</v>
      </c>
      <c r="I110" s="162">
        <f t="shared" si="5"/>
        <v>629000</v>
      </c>
    </row>
    <row r="111" spans="1:9">
      <c r="A111" s="161">
        <v>107</v>
      </c>
      <c r="B111" s="3" t="s">
        <v>1672</v>
      </c>
      <c r="C111" s="5">
        <v>316869.30000000005</v>
      </c>
      <c r="D111" s="162">
        <f t="shared" si="4"/>
        <v>317000</v>
      </c>
      <c r="F111" s="161">
        <v>477</v>
      </c>
      <c r="G111" s="3" t="s">
        <v>2040</v>
      </c>
      <c r="H111" s="5">
        <v>359092.80000000005</v>
      </c>
      <c r="I111" s="162">
        <f t="shared" si="5"/>
        <v>360000</v>
      </c>
    </row>
    <row r="112" spans="1:9">
      <c r="A112" s="161">
        <v>108</v>
      </c>
      <c r="B112" s="3" t="s">
        <v>1673</v>
      </c>
      <c r="C112" s="5">
        <v>760787.50000000012</v>
      </c>
      <c r="D112" s="162">
        <f t="shared" si="4"/>
        <v>761000</v>
      </c>
      <c r="F112" s="161">
        <v>478</v>
      </c>
      <c r="G112" s="3" t="s">
        <v>2041</v>
      </c>
      <c r="H112" s="5">
        <v>268987.40000000002</v>
      </c>
      <c r="I112" s="162">
        <f t="shared" si="5"/>
        <v>269000</v>
      </c>
    </row>
    <row r="113" spans="1:9">
      <c r="A113" s="161">
        <v>109</v>
      </c>
      <c r="B113" s="3" t="s">
        <v>1674</v>
      </c>
      <c r="C113" s="5">
        <v>127050.00000000001</v>
      </c>
      <c r="D113" s="162">
        <f t="shared" si="4"/>
        <v>128000</v>
      </c>
      <c r="F113" s="161">
        <v>479</v>
      </c>
      <c r="G113" s="3" t="s">
        <v>2042</v>
      </c>
      <c r="H113" s="5">
        <v>359092.80000000005</v>
      </c>
      <c r="I113" s="162">
        <f t="shared" si="5"/>
        <v>360000</v>
      </c>
    </row>
    <row r="114" spans="1:9">
      <c r="A114" s="161">
        <v>110</v>
      </c>
      <c r="B114" s="3" t="s">
        <v>1675</v>
      </c>
      <c r="C114" s="5">
        <v>87725</v>
      </c>
      <c r="D114" s="162">
        <f t="shared" si="4"/>
        <v>88000</v>
      </c>
      <c r="F114" s="161">
        <v>480</v>
      </c>
      <c r="G114" s="3" t="s">
        <v>2043</v>
      </c>
      <c r="H114" s="5">
        <v>314711.10000000003</v>
      </c>
      <c r="I114" s="162">
        <f t="shared" si="5"/>
        <v>315000</v>
      </c>
    </row>
    <row r="115" spans="1:9">
      <c r="A115" s="161">
        <v>111</v>
      </c>
      <c r="B115" s="3" t="s">
        <v>1676</v>
      </c>
      <c r="C115" s="5">
        <v>887837.50000000012</v>
      </c>
      <c r="D115" s="162">
        <f t="shared" si="4"/>
        <v>888000</v>
      </c>
      <c r="F115" s="161">
        <v>481</v>
      </c>
      <c r="G115" s="3" t="s">
        <v>2044</v>
      </c>
      <c r="H115" s="5">
        <v>268986.30000000005</v>
      </c>
      <c r="I115" s="162">
        <f t="shared" si="5"/>
        <v>269000</v>
      </c>
    </row>
    <row r="116" spans="1:9">
      <c r="A116" s="161">
        <v>112</v>
      </c>
      <c r="B116" s="3" t="s">
        <v>1677</v>
      </c>
      <c r="C116" s="5">
        <v>191331.80000000002</v>
      </c>
      <c r="D116" s="162">
        <f t="shared" si="4"/>
        <v>192000</v>
      </c>
      <c r="F116" s="161">
        <v>482</v>
      </c>
      <c r="G116" s="3" t="s">
        <v>2045</v>
      </c>
      <c r="H116" s="5">
        <v>125077.70000000001</v>
      </c>
      <c r="I116" s="162">
        <f t="shared" si="5"/>
        <v>126000</v>
      </c>
    </row>
    <row r="117" spans="1:9">
      <c r="A117" s="161">
        <v>113</v>
      </c>
      <c r="B117" s="3" t="s">
        <v>1678</v>
      </c>
      <c r="C117" s="5">
        <v>101337.50000000001</v>
      </c>
      <c r="D117" s="162">
        <f t="shared" si="4"/>
        <v>102000</v>
      </c>
      <c r="F117" s="161">
        <v>483</v>
      </c>
      <c r="G117" s="3" t="s">
        <v>2046</v>
      </c>
      <c r="H117" s="5">
        <v>178874.30000000002</v>
      </c>
      <c r="I117" s="162">
        <f t="shared" si="5"/>
        <v>179000</v>
      </c>
    </row>
    <row r="118" spans="1:9">
      <c r="A118" s="161">
        <v>114</v>
      </c>
      <c r="B118" s="3" t="s">
        <v>1679</v>
      </c>
      <c r="C118" s="5">
        <v>76381.8</v>
      </c>
      <c r="D118" s="162">
        <f t="shared" si="4"/>
        <v>77000</v>
      </c>
      <c r="F118" s="161">
        <v>484</v>
      </c>
      <c r="G118" s="3" t="s">
        <v>2047</v>
      </c>
      <c r="H118" s="5">
        <v>90113.1</v>
      </c>
      <c r="I118" s="162">
        <f t="shared" si="5"/>
        <v>91000</v>
      </c>
    </row>
    <row r="119" spans="1:9">
      <c r="A119" s="161">
        <v>115</v>
      </c>
      <c r="B119" s="3" t="s">
        <v>1680</v>
      </c>
      <c r="C119" s="5">
        <v>537694.30000000005</v>
      </c>
      <c r="D119" s="162">
        <f t="shared" si="4"/>
        <v>538000</v>
      </c>
      <c r="F119" s="161">
        <v>485</v>
      </c>
      <c r="G119" s="3" t="s">
        <v>2048</v>
      </c>
      <c r="H119" s="5">
        <v>716840.3</v>
      </c>
      <c r="I119" s="162">
        <f t="shared" si="5"/>
        <v>717000</v>
      </c>
    </row>
    <row r="120" spans="1:9">
      <c r="A120" s="161">
        <v>116</v>
      </c>
      <c r="B120" s="3" t="s">
        <v>1681</v>
      </c>
      <c r="C120" s="5">
        <v>537694.30000000005</v>
      </c>
      <c r="D120" s="162">
        <f t="shared" si="4"/>
        <v>538000</v>
      </c>
      <c r="F120" s="161">
        <v>486</v>
      </c>
      <c r="G120" s="3" t="s">
        <v>2049</v>
      </c>
      <c r="H120" s="5">
        <v>359092.80000000005</v>
      </c>
      <c r="I120" s="162">
        <f t="shared" si="5"/>
        <v>360000</v>
      </c>
    </row>
    <row r="121" spans="1:9" ht="30">
      <c r="A121" s="161">
        <v>117</v>
      </c>
      <c r="B121" s="3" t="s">
        <v>1682</v>
      </c>
      <c r="C121" s="5">
        <v>537694.30000000005</v>
      </c>
      <c r="D121" s="162">
        <f t="shared" si="4"/>
        <v>538000</v>
      </c>
      <c r="F121" s="161">
        <v>487</v>
      </c>
      <c r="G121" s="3" t="s">
        <v>2050</v>
      </c>
      <c r="H121" s="5">
        <v>268987.40000000002</v>
      </c>
      <c r="I121" s="162">
        <f t="shared" si="5"/>
        <v>269000</v>
      </c>
    </row>
    <row r="122" spans="1:9" ht="30">
      <c r="A122" s="161">
        <v>118</v>
      </c>
      <c r="B122" s="3" t="s">
        <v>1683</v>
      </c>
      <c r="C122" s="5">
        <v>50669.3</v>
      </c>
      <c r="D122" s="162">
        <f t="shared" si="4"/>
        <v>51000</v>
      </c>
      <c r="F122" s="161">
        <v>488</v>
      </c>
      <c r="G122" s="3" t="s">
        <v>2051</v>
      </c>
      <c r="H122" s="5">
        <v>8970586.9000000004</v>
      </c>
      <c r="I122" s="162">
        <f t="shared" si="5"/>
        <v>8971000</v>
      </c>
    </row>
    <row r="123" spans="1:9">
      <c r="A123" s="161">
        <v>119</v>
      </c>
      <c r="B123" s="3" t="s">
        <v>1684</v>
      </c>
      <c r="C123" s="5">
        <v>161837.5</v>
      </c>
      <c r="D123" s="162">
        <f t="shared" si="4"/>
        <v>162000</v>
      </c>
      <c r="F123" s="161">
        <v>489</v>
      </c>
      <c r="G123" s="3" t="s">
        <v>2052</v>
      </c>
      <c r="H123" s="5">
        <v>550000</v>
      </c>
      <c r="I123" s="162">
        <f t="shared" si="5"/>
        <v>550000</v>
      </c>
    </row>
    <row r="124" spans="1:9">
      <c r="A124" s="161">
        <v>120</v>
      </c>
      <c r="B124" s="3" t="s">
        <v>1685</v>
      </c>
      <c r="C124" s="5">
        <v>161837.5</v>
      </c>
      <c r="D124" s="162">
        <f t="shared" si="4"/>
        <v>162000</v>
      </c>
      <c r="F124" s="161">
        <v>490</v>
      </c>
      <c r="G124" s="3" t="s">
        <v>2053</v>
      </c>
      <c r="H124" s="5">
        <v>268987.40000000002</v>
      </c>
      <c r="I124" s="162">
        <f t="shared" si="5"/>
        <v>269000</v>
      </c>
    </row>
    <row r="125" spans="1:9">
      <c r="A125" s="161">
        <v>121</v>
      </c>
      <c r="B125" s="3" t="s">
        <v>1686</v>
      </c>
      <c r="C125" s="5">
        <v>161837.5</v>
      </c>
      <c r="D125" s="162">
        <f t="shared" si="4"/>
        <v>162000</v>
      </c>
      <c r="F125" s="161">
        <v>491</v>
      </c>
      <c r="G125" s="3" t="s">
        <v>2054</v>
      </c>
      <c r="H125" s="5">
        <v>215190.80000000002</v>
      </c>
      <c r="I125" s="162">
        <f t="shared" si="5"/>
        <v>216000</v>
      </c>
    </row>
    <row r="126" spans="1:9">
      <c r="A126" s="161">
        <v>122</v>
      </c>
      <c r="B126" s="3" t="s">
        <v>1687</v>
      </c>
      <c r="C126" s="5">
        <v>8359587.5000000009</v>
      </c>
      <c r="D126" s="162">
        <f t="shared" si="4"/>
        <v>8360000</v>
      </c>
      <c r="F126" s="161">
        <v>492</v>
      </c>
      <c r="G126" s="3" t="s">
        <v>2055</v>
      </c>
      <c r="H126" s="5">
        <v>268987.40000000002</v>
      </c>
      <c r="I126" s="162">
        <f t="shared" si="5"/>
        <v>269000</v>
      </c>
    </row>
    <row r="127" spans="1:9">
      <c r="A127" s="161">
        <v>123</v>
      </c>
      <c r="B127" s="3" t="s">
        <v>1688</v>
      </c>
      <c r="C127" s="5">
        <v>318381.80000000005</v>
      </c>
      <c r="D127" s="162">
        <f t="shared" si="4"/>
        <v>319000</v>
      </c>
      <c r="F127" s="161">
        <v>493</v>
      </c>
      <c r="G127" s="3" t="s">
        <v>2056</v>
      </c>
      <c r="H127" s="5">
        <v>493587.60000000003</v>
      </c>
      <c r="I127" s="162">
        <f t="shared" si="5"/>
        <v>494000</v>
      </c>
    </row>
    <row r="128" spans="1:9">
      <c r="A128" s="161">
        <v>124</v>
      </c>
      <c r="B128" s="3" t="s">
        <v>1689</v>
      </c>
      <c r="C128" s="5">
        <v>253344.30000000002</v>
      </c>
      <c r="D128" s="162">
        <f t="shared" si="4"/>
        <v>254000</v>
      </c>
      <c r="F128" s="161">
        <v>494</v>
      </c>
      <c r="G128" s="3" t="s">
        <v>2057</v>
      </c>
      <c r="H128" s="5">
        <v>628075.80000000005</v>
      </c>
      <c r="I128" s="162">
        <f t="shared" si="5"/>
        <v>629000</v>
      </c>
    </row>
    <row r="129" spans="1:9">
      <c r="A129" s="161">
        <v>125</v>
      </c>
      <c r="B129" s="3" t="s">
        <v>1690</v>
      </c>
      <c r="C129" s="5">
        <v>11910937.500000002</v>
      </c>
      <c r="D129" s="162">
        <f t="shared" si="4"/>
        <v>11911000</v>
      </c>
      <c r="F129" s="161">
        <v>495</v>
      </c>
      <c r="G129" s="3" t="s">
        <v>2058</v>
      </c>
      <c r="H129" s="5">
        <v>268983</v>
      </c>
      <c r="I129" s="162">
        <f t="shared" si="5"/>
        <v>269000</v>
      </c>
    </row>
    <row r="130" spans="1:9">
      <c r="A130" s="161">
        <v>126</v>
      </c>
      <c r="B130" s="3" t="s">
        <v>1691</v>
      </c>
      <c r="C130" s="5">
        <v>760787.50000000012</v>
      </c>
      <c r="D130" s="162">
        <f t="shared" si="4"/>
        <v>761000</v>
      </c>
      <c r="F130" s="161">
        <v>496</v>
      </c>
      <c r="G130" s="3" t="s">
        <v>2059</v>
      </c>
      <c r="H130" s="5">
        <v>268983</v>
      </c>
      <c r="I130" s="162">
        <f t="shared" si="5"/>
        <v>269000</v>
      </c>
    </row>
    <row r="131" spans="1:9">
      <c r="A131" s="161">
        <v>127</v>
      </c>
      <c r="B131" s="3" t="s">
        <v>1692</v>
      </c>
      <c r="C131" s="5">
        <v>381150.00000000006</v>
      </c>
      <c r="D131" s="162">
        <f t="shared" si="4"/>
        <v>382000</v>
      </c>
      <c r="F131" s="161">
        <v>497</v>
      </c>
      <c r="G131" s="3" t="s">
        <v>2060</v>
      </c>
      <c r="H131" s="5">
        <v>268987.40000000002</v>
      </c>
      <c r="I131" s="162">
        <f t="shared" si="5"/>
        <v>269000</v>
      </c>
    </row>
    <row r="132" spans="1:9" ht="30">
      <c r="A132" s="161">
        <v>128</v>
      </c>
      <c r="B132" s="3" t="s">
        <v>1693</v>
      </c>
      <c r="C132" s="5">
        <v>381150.00000000006</v>
      </c>
      <c r="D132" s="162">
        <f t="shared" si="4"/>
        <v>382000</v>
      </c>
      <c r="F132" s="161">
        <v>498</v>
      </c>
      <c r="G132" s="3" t="s">
        <v>2061</v>
      </c>
      <c r="H132" s="5">
        <v>636145.4</v>
      </c>
      <c r="I132" s="162">
        <f t="shared" si="5"/>
        <v>637000</v>
      </c>
    </row>
    <row r="133" spans="1:9" ht="30">
      <c r="A133" s="161">
        <v>129</v>
      </c>
      <c r="B133" s="3" t="s">
        <v>1694</v>
      </c>
      <c r="C133" s="5">
        <v>176963.6</v>
      </c>
      <c r="D133" s="162">
        <f t="shared" si="4"/>
        <v>177000</v>
      </c>
      <c r="F133" s="161">
        <v>499</v>
      </c>
      <c r="G133" s="3" t="s">
        <v>2062</v>
      </c>
      <c r="H133" s="5">
        <v>544691.4</v>
      </c>
      <c r="I133" s="162">
        <f t="shared" si="5"/>
        <v>545000</v>
      </c>
    </row>
    <row r="134" spans="1:9" ht="30">
      <c r="A134" s="161">
        <v>130</v>
      </c>
      <c r="B134" s="3" t="s">
        <v>1695</v>
      </c>
      <c r="C134" s="5">
        <v>253344.30000000002</v>
      </c>
      <c r="D134" s="162">
        <f t="shared" ref="D134:D197" si="6">ROUNDUP(C134,-3)</f>
        <v>254000</v>
      </c>
      <c r="F134" s="161">
        <v>500</v>
      </c>
      <c r="G134" s="3" t="s">
        <v>2063</v>
      </c>
      <c r="H134" s="5">
        <v>268987.40000000002</v>
      </c>
      <c r="I134" s="162">
        <f t="shared" si="5"/>
        <v>269000</v>
      </c>
    </row>
    <row r="135" spans="1:9" ht="30">
      <c r="A135" s="161">
        <v>131</v>
      </c>
      <c r="B135" s="3" t="s">
        <v>1696</v>
      </c>
      <c r="C135" s="5">
        <v>176962.5</v>
      </c>
      <c r="D135" s="162">
        <f t="shared" si="6"/>
        <v>177000</v>
      </c>
      <c r="F135" s="161">
        <v>501</v>
      </c>
      <c r="G135" s="3" t="s">
        <v>2064</v>
      </c>
      <c r="H135" s="5">
        <v>359092.80000000005</v>
      </c>
      <c r="I135" s="162">
        <f t="shared" si="5"/>
        <v>360000</v>
      </c>
    </row>
    <row r="136" spans="1:9" ht="30">
      <c r="A136" s="161">
        <v>132</v>
      </c>
      <c r="B136" s="3" t="s">
        <v>1697</v>
      </c>
      <c r="C136" s="5">
        <v>1375000</v>
      </c>
      <c r="D136" s="162">
        <f t="shared" si="6"/>
        <v>1375000</v>
      </c>
      <c r="F136" s="161">
        <v>502</v>
      </c>
      <c r="G136" s="3" t="s">
        <v>2065</v>
      </c>
      <c r="H136" s="5">
        <v>459961.7</v>
      </c>
      <c r="I136" s="162">
        <f t="shared" si="5"/>
        <v>460000</v>
      </c>
    </row>
    <row r="137" spans="1:9" ht="30">
      <c r="A137" s="161">
        <v>133</v>
      </c>
      <c r="B137" s="3" t="s">
        <v>1698</v>
      </c>
      <c r="C137" s="5">
        <v>168644.30000000002</v>
      </c>
      <c r="D137" s="162">
        <f t="shared" si="6"/>
        <v>169000</v>
      </c>
      <c r="F137" s="161">
        <v>503</v>
      </c>
      <c r="G137" s="3" t="s">
        <v>2066</v>
      </c>
      <c r="H137" s="5">
        <v>178874.30000000002</v>
      </c>
      <c r="I137" s="162">
        <f t="shared" si="5"/>
        <v>179000</v>
      </c>
    </row>
    <row r="138" spans="1:9" ht="30">
      <c r="A138" s="161">
        <v>134</v>
      </c>
      <c r="B138" s="3" t="s">
        <v>1699</v>
      </c>
      <c r="C138" s="5">
        <v>64281.8</v>
      </c>
      <c r="D138" s="162">
        <f t="shared" si="6"/>
        <v>65000</v>
      </c>
      <c r="F138" s="161">
        <v>504</v>
      </c>
      <c r="G138" s="3" t="s">
        <v>2067</v>
      </c>
      <c r="H138" s="5">
        <v>268987.40000000002</v>
      </c>
      <c r="I138" s="162">
        <f t="shared" si="5"/>
        <v>269000</v>
      </c>
    </row>
    <row r="139" spans="1:9">
      <c r="A139" s="161">
        <v>135</v>
      </c>
      <c r="B139" s="3" t="s">
        <v>1700</v>
      </c>
      <c r="C139" s="5">
        <v>190575.00000000003</v>
      </c>
      <c r="D139" s="162">
        <f t="shared" si="6"/>
        <v>191000</v>
      </c>
      <c r="F139" s="161">
        <v>505</v>
      </c>
      <c r="G139" s="3" t="s">
        <v>2068</v>
      </c>
      <c r="H139" s="5">
        <v>178874.30000000002</v>
      </c>
      <c r="I139" s="162">
        <f t="shared" si="5"/>
        <v>179000</v>
      </c>
    </row>
    <row r="140" spans="1:9">
      <c r="A140" s="161">
        <v>136</v>
      </c>
      <c r="B140" s="3" t="s">
        <v>1701</v>
      </c>
      <c r="C140" s="5">
        <v>127050.00000000001</v>
      </c>
      <c r="D140" s="162">
        <f t="shared" si="6"/>
        <v>128000</v>
      </c>
      <c r="F140" s="161">
        <v>506</v>
      </c>
      <c r="G140" s="3" t="s">
        <v>2069</v>
      </c>
      <c r="H140" s="5">
        <v>204427.30000000002</v>
      </c>
      <c r="I140" s="162">
        <f t="shared" si="5"/>
        <v>205000</v>
      </c>
    </row>
    <row r="141" spans="1:9">
      <c r="A141" s="161">
        <v>137</v>
      </c>
      <c r="B141" s="3" t="s">
        <v>1702</v>
      </c>
      <c r="C141" s="5">
        <v>253344.30000000002</v>
      </c>
      <c r="D141" s="162">
        <f t="shared" si="6"/>
        <v>254000</v>
      </c>
      <c r="F141" s="161">
        <v>507</v>
      </c>
      <c r="G141" s="3" t="s">
        <v>2070</v>
      </c>
      <c r="H141" s="5">
        <v>181563.80000000002</v>
      </c>
      <c r="I141" s="162">
        <f t="shared" si="5"/>
        <v>182000</v>
      </c>
    </row>
    <row r="142" spans="1:9">
      <c r="A142" s="161">
        <v>138</v>
      </c>
      <c r="B142" s="3" t="s">
        <v>1703</v>
      </c>
      <c r="C142" s="5">
        <v>1014131.8</v>
      </c>
      <c r="D142" s="162">
        <f t="shared" si="6"/>
        <v>1015000</v>
      </c>
      <c r="F142" s="161">
        <v>508</v>
      </c>
      <c r="G142" s="3" t="s">
        <v>2071</v>
      </c>
      <c r="H142" s="5">
        <v>268987.40000000002</v>
      </c>
      <c r="I142" s="162">
        <f t="shared" si="5"/>
        <v>269000</v>
      </c>
    </row>
    <row r="143" spans="1:9">
      <c r="A143" s="161">
        <v>139</v>
      </c>
      <c r="B143" s="3" t="s">
        <v>1704</v>
      </c>
      <c r="C143" s="5">
        <v>50669.3</v>
      </c>
      <c r="D143" s="162">
        <f t="shared" si="6"/>
        <v>51000</v>
      </c>
      <c r="F143" s="161">
        <v>509</v>
      </c>
      <c r="G143" s="3" t="s">
        <v>2072</v>
      </c>
      <c r="H143" s="5">
        <v>215190.80000000002</v>
      </c>
      <c r="I143" s="162">
        <f t="shared" si="5"/>
        <v>216000</v>
      </c>
    </row>
    <row r="144" spans="1:9">
      <c r="A144" s="161">
        <v>140</v>
      </c>
      <c r="B144" s="3" t="s">
        <v>1705</v>
      </c>
      <c r="C144" s="5">
        <v>634494.30000000005</v>
      </c>
      <c r="D144" s="162">
        <f t="shared" si="6"/>
        <v>635000</v>
      </c>
      <c r="F144" s="161">
        <v>510</v>
      </c>
      <c r="G144" s="3" t="s">
        <v>2073</v>
      </c>
      <c r="H144" s="5">
        <v>447860.60000000003</v>
      </c>
      <c r="I144" s="162">
        <f t="shared" si="5"/>
        <v>448000</v>
      </c>
    </row>
    <row r="145" spans="1:9" ht="30">
      <c r="A145" s="161">
        <v>141</v>
      </c>
      <c r="B145" s="3" t="s">
        <v>1706</v>
      </c>
      <c r="C145" s="5">
        <v>253344.30000000002</v>
      </c>
      <c r="D145" s="162">
        <f t="shared" si="6"/>
        <v>254000</v>
      </c>
      <c r="F145" s="161">
        <v>511</v>
      </c>
      <c r="G145" s="3" t="s">
        <v>2074</v>
      </c>
      <c r="H145" s="5">
        <v>786775.00000000012</v>
      </c>
      <c r="I145" s="162">
        <f t="shared" si="5"/>
        <v>787000</v>
      </c>
    </row>
    <row r="146" spans="1:9">
      <c r="A146" s="161">
        <v>142</v>
      </c>
      <c r="B146" s="3" t="s">
        <v>1707</v>
      </c>
      <c r="C146" s="5">
        <v>634495.4</v>
      </c>
      <c r="D146" s="162">
        <f t="shared" si="6"/>
        <v>635000</v>
      </c>
      <c r="F146" s="161">
        <v>512</v>
      </c>
      <c r="G146" s="3" t="s">
        <v>2075</v>
      </c>
      <c r="H146" s="5">
        <v>359092.80000000005</v>
      </c>
      <c r="I146" s="162">
        <f t="shared" si="5"/>
        <v>360000</v>
      </c>
    </row>
    <row r="147" spans="1:9">
      <c r="A147" s="161">
        <v>143</v>
      </c>
      <c r="B147" s="3" t="s">
        <v>1708</v>
      </c>
      <c r="C147" s="5">
        <v>634494.30000000005</v>
      </c>
      <c r="D147" s="162">
        <f t="shared" si="6"/>
        <v>635000</v>
      </c>
      <c r="F147" s="161">
        <v>513</v>
      </c>
      <c r="G147" s="3" t="s">
        <v>2076</v>
      </c>
      <c r="H147" s="5">
        <v>323569.40000000002</v>
      </c>
      <c r="I147" s="162">
        <f t="shared" si="5"/>
        <v>324000</v>
      </c>
    </row>
    <row r="148" spans="1:9">
      <c r="A148" s="161">
        <v>144</v>
      </c>
      <c r="B148" s="3" t="s">
        <v>1709</v>
      </c>
      <c r="C148" s="5">
        <v>124784.00000000001</v>
      </c>
      <c r="D148" s="162">
        <f t="shared" si="6"/>
        <v>125000</v>
      </c>
      <c r="F148" s="161">
        <v>514</v>
      </c>
      <c r="G148" s="3" t="s">
        <v>2077</v>
      </c>
      <c r="H148" s="5">
        <v>185145.40000000002</v>
      </c>
      <c r="I148" s="162">
        <f t="shared" si="5"/>
        <v>186000</v>
      </c>
    </row>
    <row r="149" spans="1:9">
      <c r="A149" s="161">
        <v>145</v>
      </c>
      <c r="B149" s="3" t="s">
        <v>1710</v>
      </c>
      <c r="C149" s="5">
        <v>124781.8</v>
      </c>
      <c r="D149" s="162">
        <f t="shared" si="6"/>
        <v>125000</v>
      </c>
      <c r="F149" s="161">
        <v>515</v>
      </c>
      <c r="G149" s="3" t="s">
        <v>2078</v>
      </c>
      <c r="H149" s="5">
        <v>3077339.1</v>
      </c>
      <c r="I149" s="162">
        <f t="shared" si="5"/>
        <v>3078000</v>
      </c>
    </row>
    <row r="150" spans="1:9">
      <c r="A150" s="161">
        <v>146</v>
      </c>
      <c r="B150" s="3" t="s">
        <v>1711</v>
      </c>
      <c r="C150" s="5">
        <v>1141184</v>
      </c>
      <c r="D150" s="162">
        <f t="shared" si="6"/>
        <v>1142000</v>
      </c>
      <c r="F150" s="161">
        <v>516</v>
      </c>
      <c r="G150" s="3" t="s">
        <v>2079</v>
      </c>
      <c r="H150" s="5">
        <v>3306603.3000000003</v>
      </c>
      <c r="I150" s="162">
        <f t="shared" si="5"/>
        <v>3307000</v>
      </c>
    </row>
    <row r="151" spans="1:9">
      <c r="A151" s="161">
        <v>147</v>
      </c>
      <c r="B151" s="3" t="s">
        <v>1712</v>
      </c>
      <c r="C151" s="5">
        <v>1141181.8</v>
      </c>
      <c r="D151" s="162">
        <f t="shared" si="6"/>
        <v>1142000</v>
      </c>
      <c r="F151" s="161">
        <v>517</v>
      </c>
      <c r="G151" s="3" t="s">
        <v>2080</v>
      </c>
      <c r="H151" s="5">
        <v>7812304.5000000009</v>
      </c>
      <c r="I151" s="162">
        <f t="shared" si="5"/>
        <v>7813000</v>
      </c>
    </row>
    <row r="152" spans="1:9">
      <c r="A152" s="161">
        <v>148</v>
      </c>
      <c r="B152" s="3" t="s">
        <v>1713</v>
      </c>
      <c r="C152" s="5">
        <v>279059</v>
      </c>
      <c r="D152" s="162">
        <f t="shared" si="6"/>
        <v>280000</v>
      </c>
      <c r="F152" s="161">
        <v>518</v>
      </c>
      <c r="G152" s="3" t="s">
        <v>2081</v>
      </c>
      <c r="H152" s="5">
        <v>616852.5</v>
      </c>
      <c r="I152" s="162">
        <f t="shared" si="5"/>
        <v>617000</v>
      </c>
    </row>
    <row r="153" spans="1:9">
      <c r="A153" s="161">
        <v>149</v>
      </c>
      <c r="B153" s="3" t="s">
        <v>1714</v>
      </c>
      <c r="C153" s="5">
        <v>279056.80000000005</v>
      </c>
      <c r="D153" s="162">
        <f t="shared" si="6"/>
        <v>280000</v>
      </c>
      <c r="F153" s="161">
        <v>519</v>
      </c>
      <c r="G153" s="3" t="s">
        <v>2082</v>
      </c>
      <c r="H153" s="5">
        <v>462855.80000000005</v>
      </c>
      <c r="I153" s="162">
        <f t="shared" si="5"/>
        <v>463000</v>
      </c>
    </row>
    <row r="154" spans="1:9">
      <c r="A154" s="161">
        <v>150</v>
      </c>
      <c r="B154" s="3" t="s">
        <v>1715</v>
      </c>
      <c r="C154" s="5">
        <v>335170</v>
      </c>
      <c r="D154" s="162">
        <f t="shared" si="6"/>
        <v>336000</v>
      </c>
      <c r="F154" s="161">
        <v>520</v>
      </c>
      <c r="G154" s="3" t="s">
        <v>2083</v>
      </c>
      <c r="H154" s="5">
        <v>231860.2</v>
      </c>
      <c r="I154" s="162">
        <f t="shared" si="5"/>
        <v>232000</v>
      </c>
    </row>
    <row r="155" spans="1:9">
      <c r="A155" s="161">
        <v>151</v>
      </c>
      <c r="B155" s="3" t="s">
        <v>1716</v>
      </c>
      <c r="C155" s="5">
        <v>335170</v>
      </c>
      <c r="D155" s="162">
        <f t="shared" si="6"/>
        <v>336000</v>
      </c>
      <c r="F155" s="161">
        <v>521</v>
      </c>
      <c r="G155" s="3" t="s">
        <v>2084</v>
      </c>
      <c r="H155" s="5">
        <v>123717.00000000001</v>
      </c>
      <c r="I155" s="162">
        <f t="shared" ref="I155:I218" si="7">ROUNDUP(H155,-3)</f>
        <v>124000</v>
      </c>
    </row>
    <row r="156" spans="1:9">
      <c r="A156" s="161">
        <v>152</v>
      </c>
      <c r="B156" s="3" t="s">
        <v>1717</v>
      </c>
      <c r="C156" s="5">
        <v>419870.00000000006</v>
      </c>
      <c r="D156" s="162">
        <f t="shared" si="6"/>
        <v>420000</v>
      </c>
      <c r="F156" s="161">
        <v>522</v>
      </c>
      <c r="G156" s="3" t="s">
        <v>2085</v>
      </c>
      <c r="H156" s="5">
        <v>231860.2</v>
      </c>
      <c r="I156" s="162">
        <f t="shared" si="7"/>
        <v>232000</v>
      </c>
    </row>
    <row r="157" spans="1:9">
      <c r="A157" s="161">
        <v>153</v>
      </c>
      <c r="B157" s="3" t="s">
        <v>1718</v>
      </c>
      <c r="C157" s="5">
        <v>419870.00000000006</v>
      </c>
      <c r="D157" s="162">
        <f t="shared" si="6"/>
        <v>420000</v>
      </c>
      <c r="F157" s="161">
        <v>523</v>
      </c>
      <c r="G157" s="3" t="s">
        <v>2086</v>
      </c>
      <c r="H157" s="5">
        <v>385860.2</v>
      </c>
      <c r="I157" s="162">
        <f t="shared" si="7"/>
        <v>386000</v>
      </c>
    </row>
    <row r="158" spans="1:9">
      <c r="A158" s="161">
        <v>154</v>
      </c>
      <c r="B158" s="3" t="s">
        <v>1719</v>
      </c>
      <c r="C158" s="5">
        <v>507445.4</v>
      </c>
      <c r="D158" s="162">
        <f t="shared" si="6"/>
        <v>508000</v>
      </c>
      <c r="F158" s="161">
        <v>524</v>
      </c>
      <c r="G158" s="3" t="s">
        <v>2087</v>
      </c>
      <c r="H158" s="5">
        <v>850445.20000000007</v>
      </c>
      <c r="I158" s="162">
        <f t="shared" si="7"/>
        <v>851000</v>
      </c>
    </row>
    <row r="159" spans="1:9">
      <c r="A159" s="161">
        <v>155</v>
      </c>
      <c r="B159" s="3" t="s">
        <v>1720</v>
      </c>
      <c r="C159" s="5">
        <v>507444.30000000005</v>
      </c>
      <c r="D159" s="162">
        <f t="shared" si="6"/>
        <v>508000</v>
      </c>
      <c r="F159" s="161">
        <v>525</v>
      </c>
      <c r="G159" s="3" t="s">
        <v>2088</v>
      </c>
      <c r="H159" s="5">
        <v>1083171.1000000001</v>
      </c>
      <c r="I159" s="162">
        <f t="shared" si="7"/>
        <v>1084000</v>
      </c>
    </row>
    <row r="160" spans="1:9">
      <c r="A160" s="161">
        <v>156</v>
      </c>
      <c r="B160" s="3" t="s">
        <v>1721</v>
      </c>
      <c r="C160" s="5">
        <v>634495.4</v>
      </c>
      <c r="D160" s="162">
        <f t="shared" si="6"/>
        <v>635000</v>
      </c>
      <c r="F160" s="161">
        <v>526</v>
      </c>
      <c r="G160" s="3" t="s">
        <v>2089</v>
      </c>
      <c r="H160" s="5">
        <v>2005417.7000000002</v>
      </c>
      <c r="I160" s="162">
        <f t="shared" si="7"/>
        <v>2006000</v>
      </c>
    </row>
    <row r="161" spans="1:9">
      <c r="A161" s="161">
        <v>157</v>
      </c>
      <c r="B161" s="3" t="s">
        <v>1722</v>
      </c>
      <c r="C161" s="5">
        <v>634494.30000000005</v>
      </c>
      <c r="D161" s="162">
        <f t="shared" si="6"/>
        <v>635000</v>
      </c>
      <c r="F161" s="161">
        <v>527</v>
      </c>
      <c r="G161" s="3" t="s">
        <v>2090</v>
      </c>
      <c r="H161" s="5">
        <v>2622270.2000000002</v>
      </c>
      <c r="I161" s="162">
        <f t="shared" si="7"/>
        <v>2623000</v>
      </c>
    </row>
    <row r="162" spans="1:9">
      <c r="A162" s="161">
        <v>158</v>
      </c>
      <c r="B162" s="3" t="s">
        <v>1723</v>
      </c>
      <c r="C162" s="5">
        <v>196625.00000000003</v>
      </c>
      <c r="D162" s="162">
        <f t="shared" si="6"/>
        <v>197000</v>
      </c>
      <c r="F162" s="161">
        <v>528</v>
      </c>
      <c r="G162" s="3" t="s">
        <v>2091</v>
      </c>
      <c r="H162" s="5">
        <v>6440176.6000000006</v>
      </c>
      <c r="I162" s="162">
        <f t="shared" si="7"/>
        <v>6441000</v>
      </c>
    </row>
    <row r="163" spans="1:9">
      <c r="A163" s="161">
        <v>159</v>
      </c>
      <c r="B163" s="3" t="s">
        <v>1724</v>
      </c>
      <c r="C163" s="5">
        <v>196625.00000000003</v>
      </c>
      <c r="D163" s="162">
        <f t="shared" si="6"/>
        <v>197000</v>
      </c>
      <c r="F163" s="161">
        <v>529</v>
      </c>
      <c r="G163" s="3" t="s">
        <v>2092</v>
      </c>
      <c r="H163" s="5">
        <v>1507959.2000000002</v>
      </c>
      <c r="I163" s="162">
        <f t="shared" si="7"/>
        <v>1508000</v>
      </c>
    </row>
    <row r="164" spans="1:9">
      <c r="A164" s="161">
        <v>160</v>
      </c>
      <c r="B164" s="3" t="s">
        <v>1725</v>
      </c>
      <c r="C164" s="5">
        <v>888140.00000000012</v>
      </c>
      <c r="D164" s="162">
        <f t="shared" si="6"/>
        <v>889000</v>
      </c>
      <c r="F164" s="161">
        <v>530</v>
      </c>
      <c r="G164" s="3" t="s">
        <v>2093</v>
      </c>
      <c r="H164" s="5">
        <v>1931880.5000000002</v>
      </c>
      <c r="I164" s="162">
        <f t="shared" si="7"/>
        <v>1932000</v>
      </c>
    </row>
    <row r="165" spans="1:9">
      <c r="A165" s="161">
        <v>161</v>
      </c>
      <c r="B165" s="3" t="s">
        <v>1726</v>
      </c>
      <c r="C165" s="5">
        <v>888140.00000000012</v>
      </c>
      <c r="D165" s="162">
        <f t="shared" si="6"/>
        <v>889000</v>
      </c>
      <c r="F165" s="161">
        <v>531</v>
      </c>
      <c r="G165" s="3" t="s">
        <v>2094</v>
      </c>
      <c r="H165" s="5">
        <v>2345422.2000000002</v>
      </c>
      <c r="I165" s="162">
        <f t="shared" si="7"/>
        <v>2346000</v>
      </c>
    </row>
    <row r="166" spans="1:9">
      <c r="A166" s="161">
        <v>162</v>
      </c>
      <c r="B166" s="3" t="s">
        <v>1727</v>
      </c>
      <c r="C166" s="5">
        <v>550000</v>
      </c>
      <c r="D166" s="162">
        <f t="shared" si="6"/>
        <v>550000</v>
      </c>
      <c r="F166" s="161">
        <v>532</v>
      </c>
      <c r="G166" s="3" t="s">
        <v>2095</v>
      </c>
      <c r="H166" s="5">
        <v>2874896.2</v>
      </c>
      <c r="I166" s="162">
        <f t="shared" si="7"/>
        <v>2875000</v>
      </c>
    </row>
    <row r="167" spans="1:9">
      <c r="A167" s="161">
        <v>163</v>
      </c>
      <c r="B167" s="3" t="s">
        <v>1728</v>
      </c>
      <c r="C167" s="5">
        <v>291500</v>
      </c>
      <c r="D167" s="162">
        <f t="shared" si="6"/>
        <v>292000</v>
      </c>
      <c r="F167" s="161">
        <v>533</v>
      </c>
      <c r="G167" s="3" t="s">
        <v>2096</v>
      </c>
      <c r="H167" s="5">
        <v>252627.10000000003</v>
      </c>
      <c r="I167" s="162">
        <f t="shared" si="7"/>
        <v>253000</v>
      </c>
    </row>
    <row r="168" spans="1:9">
      <c r="A168" s="161">
        <v>164</v>
      </c>
      <c r="B168" s="3" t="s">
        <v>1729</v>
      </c>
      <c r="C168" s="5">
        <v>79406.8</v>
      </c>
      <c r="D168" s="162">
        <f t="shared" si="6"/>
        <v>80000</v>
      </c>
      <c r="F168" s="161">
        <v>534</v>
      </c>
      <c r="G168" s="3" t="s">
        <v>2097</v>
      </c>
      <c r="H168" s="5">
        <v>3253829.7</v>
      </c>
      <c r="I168" s="162">
        <f t="shared" si="7"/>
        <v>3254000</v>
      </c>
    </row>
    <row r="169" spans="1:9">
      <c r="A169" s="161">
        <v>165</v>
      </c>
      <c r="B169" s="3" t="s">
        <v>1730</v>
      </c>
      <c r="C169" s="5">
        <v>152763.6</v>
      </c>
      <c r="D169" s="162">
        <f t="shared" si="6"/>
        <v>153000</v>
      </c>
      <c r="F169" s="161">
        <v>535</v>
      </c>
      <c r="G169" s="3" t="s">
        <v>2098</v>
      </c>
      <c r="H169" s="5">
        <v>1157570.7000000002</v>
      </c>
      <c r="I169" s="162">
        <f t="shared" si="7"/>
        <v>1158000</v>
      </c>
    </row>
    <row r="170" spans="1:9">
      <c r="A170" s="161">
        <v>166</v>
      </c>
      <c r="B170" s="3" t="s">
        <v>1731</v>
      </c>
      <c r="C170" s="5">
        <v>152762.5</v>
      </c>
      <c r="D170" s="162">
        <f t="shared" si="6"/>
        <v>153000</v>
      </c>
      <c r="F170" s="161">
        <v>536</v>
      </c>
      <c r="G170" s="3" t="s">
        <v>2099</v>
      </c>
      <c r="H170" s="5">
        <v>771713.8</v>
      </c>
      <c r="I170" s="162">
        <f t="shared" si="7"/>
        <v>772000</v>
      </c>
    </row>
    <row r="171" spans="1:9">
      <c r="A171" s="161">
        <v>167</v>
      </c>
      <c r="B171" s="3" t="s">
        <v>1732</v>
      </c>
      <c r="C171" s="5">
        <v>152763.6</v>
      </c>
      <c r="D171" s="162">
        <f t="shared" si="6"/>
        <v>153000</v>
      </c>
      <c r="F171" s="161">
        <v>537</v>
      </c>
      <c r="G171" s="3" t="s">
        <v>2100</v>
      </c>
      <c r="H171" s="5">
        <v>5062857.8000000007</v>
      </c>
      <c r="I171" s="162">
        <f t="shared" si="7"/>
        <v>5063000</v>
      </c>
    </row>
    <row r="172" spans="1:9">
      <c r="A172" s="161">
        <v>168</v>
      </c>
      <c r="B172" s="3" t="s">
        <v>1733</v>
      </c>
      <c r="C172" s="5">
        <v>152762.5</v>
      </c>
      <c r="D172" s="162">
        <f t="shared" si="6"/>
        <v>153000</v>
      </c>
      <c r="F172" s="161">
        <v>538</v>
      </c>
      <c r="G172" s="3" t="s">
        <v>2101</v>
      </c>
      <c r="H172" s="5">
        <v>4261728.9000000004</v>
      </c>
      <c r="I172" s="162">
        <f t="shared" si="7"/>
        <v>4262000</v>
      </c>
    </row>
    <row r="173" spans="1:9">
      <c r="A173" s="161">
        <v>169</v>
      </c>
      <c r="B173" s="3" t="s">
        <v>1734</v>
      </c>
      <c r="C173" s="5">
        <v>507444.30000000005</v>
      </c>
      <c r="D173" s="162">
        <f t="shared" si="6"/>
        <v>508000</v>
      </c>
      <c r="F173" s="161">
        <v>539</v>
      </c>
      <c r="G173" s="3" t="s">
        <v>2102</v>
      </c>
      <c r="H173" s="5">
        <v>258680.40000000002</v>
      </c>
      <c r="I173" s="162">
        <f t="shared" si="7"/>
        <v>259000</v>
      </c>
    </row>
    <row r="174" spans="1:9">
      <c r="A174" s="161">
        <v>170</v>
      </c>
      <c r="B174" s="3" t="s">
        <v>1735</v>
      </c>
      <c r="C174" s="5">
        <v>304769.30000000005</v>
      </c>
      <c r="D174" s="162">
        <f t="shared" si="6"/>
        <v>305000</v>
      </c>
      <c r="F174" s="161">
        <v>540</v>
      </c>
      <c r="G174" s="3" t="s">
        <v>2103</v>
      </c>
      <c r="H174" s="5">
        <v>238781.40000000002</v>
      </c>
      <c r="I174" s="162">
        <f t="shared" si="7"/>
        <v>239000</v>
      </c>
    </row>
    <row r="175" spans="1:9">
      <c r="A175" s="161">
        <v>171</v>
      </c>
      <c r="B175" s="3" t="s">
        <v>1736</v>
      </c>
      <c r="C175" s="5">
        <v>1014131.8</v>
      </c>
      <c r="D175" s="162">
        <f t="shared" si="6"/>
        <v>1015000</v>
      </c>
      <c r="F175" s="161">
        <v>541</v>
      </c>
      <c r="G175" s="3" t="s">
        <v>2104</v>
      </c>
      <c r="H175" s="5">
        <v>2075495.4000000001</v>
      </c>
      <c r="I175" s="162">
        <f t="shared" si="7"/>
        <v>2076000</v>
      </c>
    </row>
    <row r="176" spans="1:9">
      <c r="A176" s="161">
        <v>172</v>
      </c>
      <c r="B176" s="3" t="s">
        <v>1737</v>
      </c>
      <c r="C176" s="5">
        <v>507444.30000000005</v>
      </c>
      <c r="D176" s="162">
        <f t="shared" si="6"/>
        <v>508000</v>
      </c>
      <c r="F176" s="161">
        <v>542</v>
      </c>
      <c r="G176" s="3" t="s">
        <v>2105</v>
      </c>
      <c r="H176" s="5">
        <v>307996.7</v>
      </c>
      <c r="I176" s="162">
        <f t="shared" si="7"/>
        <v>308000</v>
      </c>
    </row>
    <row r="177" spans="1:9">
      <c r="A177" s="161">
        <v>173</v>
      </c>
      <c r="B177" s="3" t="s">
        <v>1738</v>
      </c>
      <c r="C177" s="5">
        <v>634494.30000000005</v>
      </c>
      <c r="D177" s="162">
        <f t="shared" si="6"/>
        <v>635000</v>
      </c>
      <c r="F177" s="161">
        <v>543</v>
      </c>
      <c r="G177" s="3" t="s">
        <v>2106</v>
      </c>
      <c r="H177" s="5">
        <v>385856.9</v>
      </c>
      <c r="I177" s="162">
        <f t="shared" si="7"/>
        <v>386000</v>
      </c>
    </row>
    <row r="178" spans="1:9">
      <c r="A178" s="161">
        <v>174</v>
      </c>
      <c r="B178" s="3" t="s">
        <v>1739</v>
      </c>
      <c r="C178" s="5">
        <v>760787.50000000012</v>
      </c>
      <c r="D178" s="162">
        <f t="shared" si="6"/>
        <v>761000</v>
      </c>
      <c r="F178" s="161">
        <v>544</v>
      </c>
      <c r="G178" s="3" t="s">
        <v>2107</v>
      </c>
      <c r="H178" s="5">
        <v>370284.2</v>
      </c>
      <c r="I178" s="162">
        <f t="shared" si="7"/>
        <v>371000</v>
      </c>
    </row>
    <row r="179" spans="1:9">
      <c r="A179" s="161">
        <v>175</v>
      </c>
      <c r="B179" s="3" t="s">
        <v>1740</v>
      </c>
      <c r="C179" s="5">
        <v>76381.8</v>
      </c>
      <c r="D179" s="162">
        <f t="shared" si="6"/>
        <v>77000</v>
      </c>
      <c r="F179" s="161">
        <v>545</v>
      </c>
      <c r="G179" s="3" t="s">
        <v>2108</v>
      </c>
      <c r="H179" s="5">
        <v>307993.40000000002</v>
      </c>
      <c r="I179" s="162">
        <f t="shared" si="7"/>
        <v>308000</v>
      </c>
    </row>
    <row r="180" spans="1:9">
      <c r="A180" s="161">
        <v>176</v>
      </c>
      <c r="B180" s="3" t="s">
        <v>1741</v>
      </c>
      <c r="C180" s="5">
        <v>39325</v>
      </c>
      <c r="D180" s="162">
        <f t="shared" si="6"/>
        <v>40000</v>
      </c>
      <c r="F180" s="161">
        <v>546</v>
      </c>
      <c r="G180" s="3" t="s">
        <v>2109</v>
      </c>
      <c r="H180" s="5">
        <v>462855.80000000005</v>
      </c>
      <c r="I180" s="162">
        <f t="shared" si="7"/>
        <v>463000</v>
      </c>
    </row>
    <row r="181" spans="1:9">
      <c r="A181" s="161">
        <v>177</v>
      </c>
      <c r="B181" s="3" t="s">
        <v>1742</v>
      </c>
      <c r="C181" s="5">
        <v>440000.00000000006</v>
      </c>
      <c r="D181" s="162">
        <f t="shared" si="6"/>
        <v>440000</v>
      </c>
      <c r="F181" s="161">
        <v>547</v>
      </c>
      <c r="G181" s="3" t="s">
        <v>2110</v>
      </c>
      <c r="H181" s="5">
        <v>143000</v>
      </c>
      <c r="I181" s="162">
        <f t="shared" si="7"/>
        <v>143000</v>
      </c>
    </row>
    <row r="182" spans="1:9">
      <c r="A182" s="161">
        <v>178</v>
      </c>
      <c r="B182" s="3" t="s">
        <v>1743</v>
      </c>
      <c r="C182" s="5">
        <v>101337.50000000001</v>
      </c>
      <c r="D182" s="162">
        <f t="shared" si="6"/>
        <v>102000</v>
      </c>
      <c r="F182" s="161">
        <v>548</v>
      </c>
      <c r="G182" s="3" t="s">
        <v>2111</v>
      </c>
      <c r="H182" s="5">
        <v>35750</v>
      </c>
      <c r="I182" s="162">
        <f t="shared" si="7"/>
        <v>36000</v>
      </c>
    </row>
    <row r="183" spans="1:9">
      <c r="A183" s="161">
        <v>179</v>
      </c>
      <c r="B183" s="3" t="s">
        <v>1744</v>
      </c>
      <c r="C183" s="5">
        <v>253344.30000000002</v>
      </c>
      <c r="D183" s="162">
        <f t="shared" si="6"/>
        <v>254000</v>
      </c>
      <c r="F183" s="161">
        <v>549</v>
      </c>
      <c r="G183" s="3" t="s">
        <v>2112</v>
      </c>
      <c r="H183" s="5">
        <v>429000.00000000006</v>
      </c>
      <c r="I183" s="162">
        <f t="shared" si="7"/>
        <v>429000</v>
      </c>
    </row>
    <row r="184" spans="1:9" ht="30">
      <c r="A184" s="161">
        <v>180</v>
      </c>
      <c r="B184" s="3" t="s">
        <v>1745</v>
      </c>
      <c r="C184" s="5">
        <v>39325</v>
      </c>
      <c r="D184" s="162">
        <f t="shared" si="6"/>
        <v>40000</v>
      </c>
      <c r="F184" s="161">
        <v>550</v>
      </c>
      <c r="G184" s="3" t="s">
        <v>2113</v>
      </c>
      <c r="H184" s="5">
        <v>1501500.0000000002</v>
      </c>
      <c r="I184" s="162">
        <f t="shared" si="7"/>
        <v>1502000</v>
      </c>
    </row>
    <row r="185" spans="1:9">
      <c r="A185" s="161">
        <v>181</v>
      </c>
      <c r="B185" s="3" t="s">
        <v>1746</v>
      </c>
      <c r="C185" s="5">
        <v>634494.30000000005</v>
      </c>
      <c r="D185" s="162">
        <f t="shared" si="6"/>
        <v>635000</v>
      </c>
      <c r="F185" s="161">
        <v>551</v>
      </c>
      <c r="G185" s="3" t="s">
        <v>2114</v>
      </c>
      <c r="H185" s="5">
        <v>71500</v>
      </c>
      <c r="I185" s="162">
        <f t="shared" si="7"/>
        <v>72000</v>
      </c>
    </row>
    <row r="186" spans="1:9">
      <c r="A186" s="161">
        <v>182</v>
      </c>
      <c r="B186" s="3" t="s">
        <v>1747</v>
      </c>
      <c r="C186" s="5">
        <v>263175</v>
      </c>
      <c r="D186" s="162">
        <f t="shared" si="6"/>
        <v>264000</v>
      </c>
      <c r="F186" s="161">
        <v>552</v>
      </c>
      <c r="G186" s="3" t="s">
        <v>2115</v>
      </c>
      <c r="H186" s="5">
        <v>286000</v>
      </c>
      <c r="I186" s="162">
        <f t="shared" si="7"/>
        <v>286000</v>
      </c>
    </row>
    <row r="187" spans="1:9">
      <c r="A187" s="161">
        <v>183</v>
      </c>
      <c r="B187" s="3" t="s">
        <v>1748</v>
      </c>
      <c r="C187" s="5">
        <v>614831.80000000005</v>
      </c>
      <c r="D187" s="162">
        <f t="shared" si="6"/>
        <v>615000</v>
      </c>
      <c r="F187" s="161">
        <v>553</v>
      </c>
      <c r="G187" s="3" t="s">
        <v>2116</v>
      </c>
      <c r="H187" s="5">
        <v>214500.00000000003</v>
      </c>
      <c r="I187" s="162">
        <f t="shared" si="7"/>
        <v>215000</v>
      </c>
    </row>
    <row r="188" spans="1:9">
      <c r="A188" s="161">
        <v>184</v>
      </c>
      <c r="B188" s="3" t="s">
        <v>1749</v>
      </c>
      <c r="C188" s="5">
        <v>299475</v>
      </c>
      <c r="D188" s="162">
        <f t="shared" si="6"/>
        <v>300000</v>
      </c>
      <c r="F188" s="161">
        <v>554</v>
      </c>
      <c r="G188" s="3" t="s">
        <v>2117</v>
      </c>
      <c r="H188" s="5">
        <v>100100.00000000001</v>
      </c>
      <c r="I188" s="162">
        <f t="shared" si="7"/>
        <v>101000</v>
      </c>
    </row>
    <row r="189" spans="1:9">
      <c r="A189" s="161">
        <v>185</v>
      </c>
      <c r="B189" s="3" t="s">
        <v>1750</v>
      </c>
      <c r="C189" s="5">
        <v>202675.00000000003</v>
      </c>
      <c r="D189" s="162">
        <f t="shared" si="6"/>
        <v>203000</v>
      </c>
      <c r="F189" s="161">
        <v>555</v>
      </c>
      <c r="G189" s="3" t="s">
        <v>2118</v>
      </c>
      <c r="H189" s="5">
        <v>71500</v>
      </c>
      <c r="I189" s="162">
        <f t="shared" si="7"/>
        <v>72000</v>
      </c>
    </row>
    <row r="190" spans="1:9">
      <c r="A190" s="161">
        <v>186</v>
      </c>
      <c r="B190" s="3" t="s">
        <v>1751</v>
      </c>
      <c r="C190" s="5">
        <v>253344.30000000002</v>
      </c>
      <c r="D190" s="162">
        <f t="shared" si="6"/>
        <v>254000</v>
      </c>
      <c r="F190" s="161">
        <v>556</v>
      </c>
      <c r="G190" s="3" t="s">
        <v>2119</v>
      </c>
      <c r="H190" s="5">
        <v>143000</v>
      </c>
      <c r="I190" s="162">
        <f t="shared" si="7"/>
        <v>143000</v>
      </c>
    </row>
    <row r="191" spans="1:9" ht="30">
      <c r="A191" s="161">
        <v>187</v>
      </c>
      <c r="B191" s="3" t="s">
        <v>1752</v>
      </c>
      <c r="C191" s="5">
        <v>304769.30000000005</v>
      </c>
      <c r="D191" s="162">
        <f t="shared" si="6"/>
        <v>305000</v>
      </c>
      <c r="F191" s="161">
        <v>557</v>
      </c>
      <c r="G191" s="3" t="s">
        <v>2120</v>
      </c>
      <c r="H191" s="5">
        <v>286000</v>
      </c>
      <c r="I191" s="162">
        <f t="shared" si="7"/>
        <v>286000</v>
      </c>
    </row>
    <row r="192" spans="1:9">
      <c r="A192" s="161">
        <v>188</v>
      </c>
      <c r="B192" s="3" t="s">
        <v>1753</v>
      </c>
      <c r="C192" s="5">
        <v>355437.5</v>
      </c>
      <c r="D192" s="162">
        <f t="shared" si="6"/>
        <v>356000</v>
      </c>
      <c r="F192" s="161">
        <v>558</v>
      </c>
      <c r="G192" s="3" t="s">
        <v>2121</v>
      </c>
      <c r="H192" s="5">
        <v>114400.00000000001</v>
      </c>
      <c r="I192" s="162">
        <f t="shared" si="7"/>
        <v>115000</v>
      </c>
    </row>
    <row r="193" spans="1:9">
      <c r="A193" s="161">
        <v>189</v>
      </c>
      <c r="B193" s="3" t="s">
        <v>1754</v>
      </c>
      <c r="C193" s="5">
        <v>406106.80000000005</v>
      </c>
      <c r="D193" s="162">
        <f t="shared" si="6"/>
        <v>407000</v>
      </c>
      <c r="F193" s="161">
        <v>559</v>
      </c>
      <c r="G193" s="3" t="s">
        <v>2122</v>
      </c>
      <c r="H193" s="5">
        <v>114400.00000000001</v>
      </c>
      <c r="I193" s="162">
        <f t="shared" si="7"/>
        <v>115000</v>
      </c>
    </row>
    <row r="194" spans="1:9">
      <c r="A194" s="161">
        <v>190</v>
      </c>
      <c r="B194" s="3" t="s">
        <v>1755</v>
      </c>
      <c r="C194" s="5">
        <v>456019.30000000005</v>
      </c>
      <c r="D194" s="162">
        <f t="shared" si="6"/>
        <v>457000</v>
      </c>
      <c r="F194" s="161">
        <v>560</v>
      </c>
      <c r="G194" s="3" t="s">
        <v>2123</v>
      </c>
      <c r="H194" s="5">
        <v>114400.00000000001</v>
      </c>
      <c r="I194" s="162">
        <f t="shared" si="7"/>
        <v>115000</v>
      </c>
    </row>
    <row r="195" spans="1:9">
      <c r="A195" s="161">
        <v>191</v>
      </c>
      <c r="B195" s="3" t="s">
        <v>1756</v>
      </c>
      <c r="C195" s="5">
        <v>2231694.3000000003</v>
      </c>
      <c r="D195" s="162">
        <f t="shared" si="6"/>
        <v>2232000</v>
      </c>
      <c r="F195" s="161">
        <v>561</v>
      </c>
      <c r="G195" s="3" t="s">
        <v>2124</v>
      </c>
      <c r="H195" s="5">
        <v>429000.00000000006</v>
      </c>
      <c r="I195" s="162">
        <f t="shared" si="7"/>
        <v>429000</v>
      </c>
    </row>
    <row r="196" spans="1:9">
      <c r="A196" s="161">
        <v>192</v>
      </c>
      <c r="B196" s="3" t="s">
        <v>1757</v>
      </c>
      <c r="C196" s="5">
        <v>191331.80000000002</v>
      </c>
      <c r="D196" s="162">
        <f t="shared" si="6"/>
        <v>192000</v>
      </c>
      <c r="F196" s="161">
        <v>562</v>
      </c>
      <c r="G196" s="3" t="s">
        <v>2125</v>
      </c>
      <c r="H196" s="5">
        <v>572000</v>
      </c>
      <c r="I196" s="162">
        <f t="shared" si="7"/>
        <v>572000</v>
      </c>
    </row>
    <row r="197" spans="1:9">
      <c r="A197" s="161">
        <v>193</v>
      </c>
      <c r="B197" s="3" t="s">
        <v>1758</v>
      </c>
      <c r="C197" s="5">
        <v>507445.4</v>
      </c>
      <c r="D197" s="162">
        <f t="shared" si="6"/>
        <v>508000</v>
      </c>
      <c r="F197" s="161">
        <v>563</v>
      </c>
      <c r="G197" s="3" t="s">
        <v>2126</v>
      </c>
      <c r="H197" s="5">
        <v>214500.00000000003</v>
      </c>
      <c r="I197" s="162">
        <f t="shared" si="7"/>
        <v>215000</v>
      </c>
    </row>
    <row r="198" spans="1:9">
      <c r="A198" s="161">
        <v>194</v>
      </c>
      <c r="B198" s="3" t="s">
        <v>1759</v>
      </c>
      <c r="C198" s="5">
        <v>507444.30000000005</v>
      </c>
      <c r="D198" s="162">
        <f t="shared" ref="D198:D261" si="8">ROUNDUP(C198,-3)</f>
        <v>508000</v>
      </c>
      <c r="F198" s="161">
        <v>564</v>
      </c>
      <c r="G198" s="3" t="s">
        <v>2127</v>
      </c>
      <c r="H198" s="5">
        <v>500500.00000000006</v>
      </c>
      <c r="I198" s="162">
        <f t="shared" si="7"/>
        <v>501000</v>
      </c>
    </row>
    <row r="199" spans="1:9">
      <c r="A199" s="161">
        <v>195</v>
      </c>
      <c r="B199" s="3" t="s">
        <v>1760</v>
      </c>
      <c r="C199" s="5">
        <v>253344.30000000002</v>
      </c>
      <c r="D199" s="162">
        <f t="shared" si="8"/>
        <v>254000</v>
      </c>
      <c r="F199" s="161">
        <v>565</v>
      </c>
      <c r="G199" s="3" t="s">
        <v>2128</v>
      </c>
      <c r="H199" s="5">
        <v>429000.00000000006</v>
      </c>
      <c r="I199" s="162">
        <f t="shared" si="7"/>
        <v>429000</v>
      </c>
    </row>
    <row r="200" spans="1:9">
      <c r="A200" s="161">
        <v>196</v>
      </c>
      <c r="B200" s="3" t="s">
        <v>1761</v>
      </c>
      <c r="C200" s="5">
        <v>419719.30000000005</v>
      </c>
      <c r="D200" s="162">
        <f t="shared" si="8"/>
        <v>420000</v>
      </c>
      <c r="F200" s="161">
        <v>566</v>
      </c>
      <c r="G200" s="3" t="s">
        <v>2129</v>
      </c>
      <c r="H200" s="5">
        <v>330000</v>
      </c>
      <c r="I200" s="162">
        <f t="shared" si="7"/>
        <v>330000</v>
      </c>
    </row>
    <row r="201" spans="1:9">
      <c r="A201" s="161">
        <v>197</v>
      </c>
      <c r="B201" s="3" t="s">
        <v>1762</v>
      </c>
      <c r="C201" s="5">
        <v>191331.80000000002</v>
      </c>
      <c r="D201" s="162">
        <f t="shared" si="8"/>
        <v>192000</v>
      </c>
      <c r="F201" s="161">
        <v>567</v>
      </c>
      <c r="G201" s="3" t="s">
        <v>2130</v>
      </c>
      <c r="H201" s="5">
        <v>286000</v>
      </c>
      <c r="I201" s="162">
        <f t="shared" si="7"/>
        <v>286000</v>
      </c>
    </row>
    <row r="202" spans="1:9">
      <c r="A202" s="161">
        <v>198</v>
      </c>
      <c r="B202" s="3" t="s">
        <v>1763</v>
      </c>
      <c r="C202" s="5">
        <v>191334.00000000003</v>
      </c>
      <c r="D202" s="162">
        <f t="shared" si="8"/>
        <v>192000</v>
      </c>
      <c r="F202" s="161">
        <v>568</v>
      </c>
      <c r="G202" s="3" t="s">
        <v>2131</v>
      </c>
      <c r="H202" s="5">
        <v>715000</v>
      </c>
      <c r="I202" s="162">
        <f t="shared" si="7"/>
        <v>715000</v>
      </c>
    </row>
    <row r="203" spans="1:9">
      <c r="A203" s="161">
        <v>199</v>
      </c>
      <c r="B203" s="3" t="s">
        <v>1764</v>
      </c>
      <c r="C203" s="5">
        <v>50669.3</v>
      </c>
      <c r="D203" s="162">
        <f t="shared" si="8"/>
        <v>51000</v>
      </c>
      <c r="F203" s="161">
        <v>569</v>
      </c>
      <c r="G203" s="3" t="s">
        <v>2132</v>
      </c>
      <c r="H203" s="5">
        <v>357500</v>
      </c>
      <c r="I203" s="162">
        <f t="shared" si="7"/>
        <v>358000</v>
      </c>
    </row>
    <row r="204" spans="1:9" ht="30">
      <c r="A204" s="161">
        <v>200</v>
      </c>
      <c r="B204" s="3" t="s">
        <v>1765</v>
      </c>
      <c r="C204" s="5">
        <v>69575</v>
      </c>
      <c r="D204" s="162">
        <f t="shared" si="8"/>
        <v>70000</v>
      </c>
      <c r="F204" s="161">
        <v>570</v>
      </c>
      <c r="G204" s="3" t="s">
        <v>2133</v>
      </c>
      <c r="H204" s="5">
        <v>257400.00000000003</v>
      </c>
      <c r="I204" s="162">
        <f t="shared" si="7"/>
        <v>258000</v>
      </c>
    </row>
    <row r="205" spans="1:9" ht="30">
      <c r="A205" s="161">
        <v>201</v>
      </c>
      <c r="B205" s="3" t="s">
        <v>1766</v>
      </c>
      <c r="C205" s="5">
        <v>69575</v>
      </c>
      <c r="D205" s="162">
        <f t="shared" si="8"/>
        <v>70000</v>
      </c>
      <c r="F205" s="161">
        <v>571</v>
      </c>
      <c r="G205" s="3" t="s">
        <v>2134</v>
      </c>
      <c r="H205" s="5">
        <v>643500</v>
      </c>
      <c r="I205" s="162">
        <f t="shared" si="7"/>
        <v>644000</v>
      </c>
    </row>
    <row r="206" spans="1:9" ht="30">
      <c r="A206" s="161">
        <v>202</v>
      </c>
      <c r="B206" s="3" t="s">
        <v>1767</v>
      </c>
      <c r="C206" s="5">
        <v>1000450.0000000001</v>
      </c>
      <c r="D206" s="162">
        <f t="shared" si="8"/>
        <v>1001000</v>
      </c>
      <c r="F206" s="161">
        <v>572</v>
      </c>
      <c r="G206" s="3" t="s">
        <v>2135</v>
      </c>
      <c r="H206" s="5">
        <v>1144000</v>
      </c>
      <c r="I206" s="162">
        <f t="shared" si="7"/>
        <v>1144000</v>
      </c>
    </row>
    <row r="207" spans="1:9" ht="30">
      <c r="A207" s="161">
        <v>203</v>
      </c>
      <c r="B207" s="3" t="s">
        <v>1768</v>
      </c>
      <c r="C207" s="5">
        <v>3960000.0000000005</v>
      </c>
      <c r="D207" s="162">
        <f t="shared" si="8"/>
        <v>3960000</v>
      </c>
      <c r="F207" s="161">
        <v>573</v>
      </c>
      <c r="G207" s="3" t="s">
        <v>2136</v>
      </c>
      <c r="H207" s="5">
        <v>1430000</v>
      </c>
      <c r="I207" s="162">
        <f t="shared" si="7"/>
        <v>1430000</v>
      </c>
    </row>
    <row r="208" spans="1:9">
      <c r="A208" s="161">
        <v>204</v>
      </c>
      <c r="B208" s="3" t="s">
        <v>1769</v>
      </c>
      <c r="C208" s="5">
        <v>127050.00000000001</v>
      </c>
      <c r="D208" s="162">
        <f t="shared" si="8"/>
        <v>128000</v>
      </c>
      <c r="F208" s="161">
        <v>574</v>
      </c>
      <c r="G208" s="3" t="s">
        <v>2137</v>
      </c>
      <c r="H208" s="5">
        <v>214500.00000000003</v>
      </c>
      <c r="I208" s="162">
        <f t="shared" si="7"/>
        <v>215000</v>
      </c>
    </row>
    <row r="209" spans="1:9">
      <c r="A209" s="161">
        <v>205</v>
      </c>
      <c r="B209" s="3" t="s">
        <v>1770</v>
      </c>
      <c r="C209" s="5">
        <v>89994.3</v>
      </c>
      <c r="D209" s="162">
        <f t="shared" si="8"/>
        <v>90000</v>
      </c>
      <c r="F209" s="161">
        <v>575</v>
      </c>
      <c r="G209" s="3" t="s">
        <v>2138</v>
      </c>
      <c r="H209" s="5">
        <v>50050.000000000007</v>
      </c>
      <c r="I209" s="162">
        <f t="shared" si="7"/>
        <v>51000</v>
      </c>
    </row>
    <row r="210" spans="1:9">
      <c r="A210" s="161">
        <v>206</v>
      </c>
      <c r="B210" s="3" t="s">
        <v>1771</v>
      </c>
      <c r="C210" s="5">
        <v>768350.00000000012</v>
      </c>
      <c r="D210" s="162">
        <f t="shared" si="8"/>
        <v>769000</v>
      </c>
      <c r="F210" s="161">
        <v>576</v>
      </c>
      <c r="G210" s="3" t="s">
        <v>2139</v>
      </c>
      <c r="H210" s="5">
        <v>71500</v>
      </c>
      <c r="I210" s="162">
        <f t="shared" si="7"/>
        <v>72000</v>
      </c>
    </row>
    <row r="211" spans="1:9">
      <c r="A211" s="161">
        <v>207</v>
      </c>
      <c r="B211" s="3" t="s">
        <v>1772</v>
      </c>
      <c r="C211" s="5">
        <v>89994.3</v>
      </c>
      <c r="D211" s="162">
        <f t="shared" si="8"/>
        <v>90000</v>
      </c>
      <c r="F211" s="161">
        <v>577</v>
      </c>
      <c r="G211" s="3" t="s">
        <v>2140</v>
      </c>
      <c r="H211" s="5">
        <v>286000</v>
      </c>
      <c r="I211" s="162">
        <f t="shared" si="7"/>
        <v>286000</v>
      </c>
    </row>
    <row r="212" spans="1:9">
      <c r="A212" s="161">
        <v>208</v>
      </c>
      <c r="B212" s="3" t="s">
        <v>1773</v>
      </c>
      <c r="C212" s="5">
        <v>83188.600000000006</v>
      </c>
      <c r="D212" s="162">
        <f t="shared" si="8"/>
        <v>84000</v>
      </c>
      <c r="F212" s="161">
        <v>578</v>
      </c>
      <c r="G212" s="3" t="s">
        <v>2141</v>
      </c>
      <c r="H212" s="5">
        <v>643500</v>
      </c>
      <c r="I212" s="162">
        <f t="shared" si="7"/>
        <v>644000</v>
      </c>
    </row>
    <row r="213" spans="1:9">
      <c r="A213" s="161">
        <v>209</v>
      </c>
      <c r="B213" s="3" t="s">
        <v>1774</v>
      </c>
      <c r="C213" s="5">
        <v>83187.5</v>
      </c>
      <c r="D213" s="162">
        <f t="shared" si="8"/>
        <v>84000</v>
      </c>
      <c r="F213" s="161">
        <v>579</v>
      </c>
      <c r="G213" s="3" t="s">
        <v>2142</v>
      </c>
      <c r="H213" s="5">
        <v>643500</v>
      </c>
      <c r="I213" s="162">
        <f t="shared" si="7"/>
        <v>644000</v>
      </c>
    </row>
    <row r="214" spans="1:9" ht="30">
      <c r="A214" s="161">
        <v>210</v>
      </c>
      <c r="B214" s="3" t="s">
        <v>1775</v>
      </c>
      <c r="C214" s="5">
        <v>152763.6</v>
      </c>
      <c r="D214" s="162">
        <f t="shared" si="8"/>
        <v>153000</v>
      </c>
      <c r="F214" s="161">
        <v>580</v>
      </c>
      <c r="G214" s="3" t="s">
        <v>2143</v>
      </c>
      <c r="H214" s="5">
        <v>1215500</v>
      </c>
      <c r="I214" s="162">
        <f t="shared" si="7"/>
        <v>1216000</v>
      </c>
    </row>
    <row r="215" spans="1:9" ht="30">
      <c r="A215" s="161">
        <v>211</v>
      </c>
      <c r="B215" s="3" t="s">
        <v>1776</v>
      </c>
      <c r="C215" s="5">
        <v>152762.5</v>
      </c>
      <c r="D215" s="162">
        <f t="shared" si="8"/>
        <v>153000</v>
      </c>
      <c r="F215" s="161">
        <v>581</v>
      </c>
      <c r="G215" s="3" t="s">
        <v>2144</v>
      </c>
      <c r="H215" s="5">
        <v>1573000.0000000002</v>
      </c>
      <c r="I215" s="162">
        <f t="shared" si="7"/>
        <v>1573000</v>
      </c>
    </row>
    <row r="216" spans="1:9">
      <c r="A216" s="161">
        <v>212</v>
      </c>
      <c r="B216" s="3" t="s">
        <v>1777</v>
      </c>
      <c r="C216" s="5">
        <v>127806.80000000002</v>
      </c>
      <c r="D216" s="162">
        <f t="shared" si="8"/>
        <v>128000</v>
      </c>
      <c r="F216" s="161">
        <v>582</v>
      </c>
      <c r="G216" s="3" t="s">
        <v>2145</v>
      </c>
      <c r="H216" s="5">
        <v>686400</v>
      </c>
      <c r="I216" s="162">
        <f t="shared" si="7"/>
        <v>687000</v>
      </c>
    </row>
    <row r="217" spans="1:9">
      <c r="A217" s="161">
        <v>213</v>
      </c>
      <c r="B217" s="3" t="s">
        <v>1778</v>
      </c>
      <c r="C217" s="5">
        <v>127050.00000000001</v>
      </c>
      <c r="D217" s="162">
        <f t="shared" si="8"/>
        <v>128000</v>
      </c>
      <c r="F217" s="161">
        <v>583</v>
      </c>
      <c r="G217" s="3" t="s">
        <v>2146</v>
      </c>
      <c r="H217" s="5">
        <v>686400</v>
      </c>
      <c r="I217" s="162">
        <f t="shared" si="7"/>
        <v>687000</v>
      </c>
    </row>
    <row r="218" spans="1:9">
      <c r="A218" s="161">
        <v>214</v>
      </c>
      <c r="B218" s="3" t="s">
        <v>1779</v>
      </c>
      <c r="C218" s="5">
        <v>406106.80000000005</v>
      </c>
      <c r="D218" s="162">
        <f t="shared" si="8"/>
        <v>407000</v>
      </c>
      <c r="F218" s="161">
        <v>584</v>
      </c>
      <c r="G218" s="3" t="s">
        <v>2147</v>
      </c>
      <c r="H218" s="5">
        <v>357500</v>
      </c>
      <c r="I218" s="162">
        <f t="shared" si="7"/>
        <v>358000</v>
      </c>
    </row>
    <row r="219" spans="1:9">
      <c r="A219" s="161">
        <v>215</v>
      </c>
      <c r="B219" s="3" t="s">
        <v>1780</v>
      </c>
      <c r="C219" s="5">
        <v>825000.00000000012</v>
      </c>
      <c r="D219" s="162">
        <f t="shared" si="8"/>
        <v>825000</v>
      </c>
      <c r="F219" s="161">
        <v>585</v>
      </c>
      <c r="G219" s="3" t="s">
        <v>2148</v>
      </c>
      <c r="H219" s="5">
        <v>286000</v>
      </c>
      <c r="I219" s="162">
        <f t="shared" ref="I219:I282" si="9">ROUNDUP(H219,-3)</f>
        <v>286000</v>
      </c>
    </row>
    <row r="220" spans="1:9">
      <c r="A220" s="161">
        <v>216</v>
      </c>
      <c r="B220" s="3" t="s">
        <v>1781</v>
      </c>
      <c r="C220" s="5">
        <v>698775</v>
      </c>
      <c r="D220" s="162">
        <f t="shared" si="8"/>
        <v>699000</v>
      </c>
      <c r="F220" s="161">
        <v>586</v>
      </c>
      <c r="G220" s="3" t="s">
        <v>2149</v>
      </c>
      <c r="H220" s="5">
        <v>429000.00000000006</v>
      </c>
      <c r="I220" s="162">
        <f t="shared" si="9"/>
        <v>429000</v>
      </c>
    </row>
    <row r="221" spans="1:9" ht="30">
      <c r="A221" s="161">
        <v>217</v>
      </c>
      <c r="B221" s="3" t="s">
        <v>1782</v>
      </c>
      <c r="C221" s="5">
        <v>2198419.3000000003</v>
      </c>
      <c r="D221" s="162">
        <f t="shared" si="8"/>
        <v>2199000</v>
      </c>
      <c r="F221" s="161">
        <v>587</v>
      </c>
      <c r="G221" s="3" t="s">
        <v>2150</v>
      </c>
      <c r="H221" s="5">
        <v>71500</v>
      </c>
      <c r="I221" s="162">
        <f t="shared" si="9"/>
        <v>72000</v>
      </c>
    </row>
    <row r="222" spans="1:9">
      <c r="A222" s="161">
        <v>218</v>
      </c>
      <c r="B222" s="3" t="s">
        <v>1783</v>
      </c>
      <c r="C222" s="5">
        <v>76381.8</v>
      </c>
      <c r="D222" s="162">
        <f t="shared" si="8"/>
        <v>77000</v>
      </c>
      <c r="F222" s="161">
        <v>588</v>
      </c>
      <c r="G222" s="3" t="s">
        <v>2151</v>
      </c>
      <c r="H222" s="5">
        <v>715000</v>
      </c>
      <c r="I222" s="162">
        <f t="shared" si="9"/>
        <v>715000</v>
      </c>
    </row>
    <row r="223" spans="1:9">
      <c r="A223" s="161">
        <v>219</v>
      </c>
      <c r="B223" s="3" t="s">
        <v>1784</v>
      </c>
      <c r="C223" s="5">
        <v>1343856.8</v>
      </c>
      <c r="D223" s="162">
        <f t="shared" si="8"/>
        <v>1344000</v>
      </c>
      <c r="F223" s="161">
        <v>589</v>
      </c>
      <c r="G223" s="3" t="s">
        <v>2152</v>
      </c>
      <c r="H223" s="5">
        <v>572000</v>
      </c>
      <c r="I223" s="162">
        <f t="shared" si="9"/>
        <v>572000</v>
      </c>
    </row>
    <row r="224" spans="1:9">
      <c r="A224" s="161">
        <v>220</v>
      </c>
      <c r="B224" s="3" t="s">
        <v>1785</v>
      </c>
      <c r="C224" s="5">
        <v>691969.3</v>
      </c>
      <c r="D224" s="162">
        <f t="shared" si="8"/>
        <v>692000</v>
      </c>
      <c r="F224" s="161">
        <v>590</v>
      </c>
      <c r="G224" s="3" t="s">
        <v>2153</v>
      </c>
      <c r="H224" s="5">
        <v>643500</v>
      </c>
      <c r="I224" s="162">
        <f t="shared" si="9"/>
        <v>644000</v>
      </c>
    </row>
    <row r="225" spans="1:9">
      <c r="A225" s="161">
        <v>221</v>
      </c>
      <c r="B225" s="3" t="s">
        <v>1786</v>
      </c>
      <c r="C225" s="5">
        <v>89994.3</v>
      </c>
      <c r="D225" s="162">
        <f t="shared" si="8"/>
        <v>90000</v>
      </c>
      <c r="F225" s="161">
        <v>591</v>
      </c>
      <c r="G225" s="3" t="s">
        <v>2154</v>
      </c>
      <c r="H225" s="5">
        <v>357500</v>
      </c>
      <c r="I225" s="162">
        <f t="shared" si="9"/>
        <v>358000</v>
      </c>
    </row>
    <row r="226" spans="1:9">
      <c r="A226" s="161">
        <v>222</v>
      </c>
      <c r="B226" s="3" t="s">
        <v>1787</v>
      </c>
      <c r="C226" s="5">
        <v>127050.00000000001</v>
      </c>
      <c r="D226" s="162">
        <f t="shared" si="8"/>
        <v>128000</v>
      </c>
      <c r="F226" s="161">
        <v>592</v>
      </c>
      <c r="G226" s="3" t="s">
        <v>2155</v>
      </c>
      <c r="H226" s="5">
        <v>214500.00000000003</v>
      </c>
      <c r="I226" s="162">
        <f t="shared" si="9"/>
        <v>215000</v>
      </c>
    </row>
    <row r="227" spans="1:9">
      <c r="A227" s="161">
        <v>223</v>
      </c>
      <c r="B227" s="3" t="s">
        <v>1788</v>
      </c>
      <c r="C227" s="5">
        <v>127050.00000000001</v>
      </c>
      <c r="D227" s="162">
        <f t="shared" si="8"/>
        <v>128000</v>
      </c>
      <c r="F227" s="161">
        <v>593</v>
      </c>
      <c r="G227" s="3" t="s">
        <v>2156</v>
      </c>
      <c r="H227" s="5">
        <v>143000</v>
      </c>
      <c r="I227" s="162">
        <f t="shared" si="9"/>
        <v>143000</v>
      </c>
    </row>
    <row r="228" spans="1:9">
      <c r="A228" s="161">
        <v>224</v>
      </c>
      <c r="B228" s="3" t="s">
        <v>1789</v>
      </c>
      <c r="C228" s="5">
        <v>127050.00000000001</v>
      </c>
      <c r="D228" s="162">
        <f t="shared" si="8"/>
        <v>128000</v>
      </c>
      <c r="F228" s="161">
        <v>594</v>
      </c>
      <c r="G228" s="3" t="s">
        <v>2157</v>
      </c>
      <c r="H228" s="5">
        <v>286000</v>
      </c>
      <c r="I228" s="162">
        <f t="shared" si="9"/>
        <v>286000</v>
      </c>
    </row>
    <row r="229" spans="1:9" ht="30">
      <c r="A229" s="161">
        <v>225</v>
      </c>
      <c r="B229" s="3" t="s">
        <v>1790</v>
      </c>
      <c r="C229" s="5">
        <v>252894.40000000002</v>
      </c>
      <c r="D229" s="162">
        <f t="shared" si="8"/>
        <v>253000</v>
      </c>
      <c r="F229" s="161">
        <v>595</v>
      </c>
      <c r="G229" s="3" t="s">
        <v>2158</v>
      </c>
      <c r="H229" s="5">
        <v>572000</v>
      </c>
      <c r="I229" s="162">
        <f t="shared" si="9"/>
        <v>572000</v>
      </c>
    </row>
    <row r="230" spans="1:9" ht="30">
      <c r="A230" s="161">
        <v>226</v>
      </c>
      <c r="B230" s="3" t="s">
        <v>1791</v>
      </c>
      <c r="C230" s="5">
        <v>381150.00000000006</v>
      </c>
      <c r="D230" s="162">
        <f t="shared" si="8"/>
        <v>382000</v>
      </c>
      <c r="F230" s="161">
        <v>596</v>
      </c>
      <c r="G230" s="3" t="s">
        <v>2159</v>
      </c>
      <c r="H230" s="5">
        <v>500500.00000000006</v>
      </c>
      <c r="I230" s="162">
        <f t="shared" si="9"/>
        <v>501000</v>
      </c>
    </row>
    <row r="231" spans="1:9">
      <c r="A231" s="161">
        <v>227</v>
      </c>
      <c r="B231" s="3" t="s">
        <v>1792</v>
      </c>
      <c r="C231" s="5">
        <v>191331.80000000002</v>
      </c>
      <c r="D231" s="162">
        <f t="shared" si="8"/>
        <v>192000</v>
      </c>
      <c r="F231" s="161">
        <v>597</v>
      </c>
      <c r="G231" s="3" t="s">
        <v>2160</v>
      </c>
      <c r="H231" s="5">
        <v>1573000.0000000002</v>
      </c>
      <c r="I231" s="162">
        <f t="shared" si="9"/>
        <v>1573000</v>
      </c>
    </row>
    <row r="232" spans="1:9">
      <c r="A232" s="161">
        <v>228</v>
      </c>
      <c r="B232" s="3" t="s">
        <v>1793</v>
      </c>
      <c r="C232" s="5">
        <v>89994.3</v>
      </c>
      <c r="D232" s="162">
        <f t="shared" si="8"/>
        <v>90000</v>
      </c>
      <c r="F232" s="161">
        <v>598</v>
      </c>
      <c r="G232" s="3" t="s">
        <v>2161</v>
      </c>
      <c r="H232" s="5">
        <v>1430000</v>
      </c>
      <c r="I232" s="162">
        <f t="shared" si="9"/>
        <v>1430000</v>
      </c>
    </row>
    <row r="233" spans="1:9">
      <c r="A233" s="161">
        <v>229</v>
      </c>
      <c r="B233" s="3" t="s">
        <v>1794</v>
      </c>
      <c r="C233" s="5">
        <v>7609387.5000000009</v>
      </c>
      <c r="D233" s="162">
        <f t="shared" si="8"/>
        <v>7610000</v>
      </c>
      <c r="F233" s="161">
        <v>599</v>
      </c>
      <c r="G233" s="3" t="s">
        <v>2162</v>
      </c>
      <c r="H233" s="5">
        <v>2288000</v>
      </c>
      <c r="I233" s="162">
        <f t="shared" si="9"/>
        <v>2288000</v>
      </c>
    </row>
    <row r="234" spans="1:9" ht="30">
      <c r="A234" s="161">
        <v>230</v>
      </c>
      <c r="B234" s="3" t="s">
        <v>1795</v>
      </c>
      <c r="C234" s="5">
        <v>1963500.0000000002</v>
      </c>
      <c r="D234" s="162">
        <f t="shared" si="8"/>
        <v>1964000</v>
      </c>
      <c r="F234" s="161">
        <v>600</v>
      </c>
      <c r="G234" s="3" t="s">
        <v>2163</v>
      </c>
      <c r="H234" s="5">
        <v>994057.9</v>
      </c>
      <c r="I234" s="162">
        <f t="shared" si="9"/>
        <v>995000</v>
      </c>
    </row>
    <row r="235" spans="1:9" ht="30">
      <c r="A235" s="161">
        <v>231</v>
      </c>
      <c r="B235" s="3" t="s">
        <v>1796</v>
      </c>
      <c r="C235" s="5">
        <v>1848000.0000000002</v>
      </c>
      <c r="D235" s="162">
        <f t="shared" si="8"/>
        <v>1848000</v>
      </c>
      <c r="F235" s="161">
        <v>601</v>
      </c>
      <c r="G235" s="3" t="s">
        <v>2164</v>
      </c>
      <c r="H235" s="5">
        <v>2313411.1</v>
      </c>
      <c r="I235" s="162">
        <f t="shared" si="9"/>
        <v>2314000</v>
      </c>
    </row>
    <row r="236" spans="1:9">
      <c r="A236" s="161">
        <v>232</v>
      </c>
      <c r="B236" s="3" t="s">
        <v>1797</v>
      </c>
      <c r="C236" s="5">
        <v>702900</v>
      </c>
      <c r="D236" s="162">
        <f t="shared" si="8"/>
        <v>703000</v>
      </c>
      <c r="F236" s="161">
        <v>602</v>
      </c>
      <c r="G236" s="3" t="s">
        <v>2165</v>
      </c>
      <c r="H236" s="5">
        <v>4897614.7</v>
      </c>
      <c r="I236" s="162">
        <f t="shared" si="9"/>
        <v>4898000</v>
      </c>
    </row>
    <row r="237" spans="1:9">
      <c r="A237" s="161">
        <v>233</v>
      </c>
      <c r="B237" s="3" t="s">
        <v>1798</v>
      </c>
      <c r="C237" s="5">
        <v>581900</v>
      </c>
      <c r="D237" s="162">
        <f t="shared" si="8"/>
        <v>582000</v>
      </c>
      <c r="F237" s="161">
        <v>603</v>
      </c>
      <c r="G237" s="3" t="s">
        <v>2166</v>
      </c>
      <c r="H237" s="5">
        <v>9605761</v>
      </c>
      <c r="I237" s="162">
        <f t="shared" si="9"/>
        <v>9606000</v>
      </c>
    </row>
    <row r="238" spans="1:9">
      <c r="A238" s="161">
        <v>234</v>
      </c>
      <c r="B238" s="3" t="s">
        <v>1799</v>
      </c>
      <c r="C238" s="5">
        <v>1428900</v>
      </c>
      <c r="D238" s="162">
        <f t="shared" si="8"/>
        <v>1429000</v>
      </c>
      <c r="F238" s="161">
        <v>604</v>
      </c>
      <c r="G238" s="3" t="s">
        <v>2167</v>
      </c>
      <c r="H238" s="5">
        <v>8731959.5</v>
      </c>
      <c r="I238" s="162">
        <f t="shared" si="9"/>
        <v>8732000</v>
      </c>
    </row>
    <row r="239" spans="1:9">
      <c r="A239" s="161">
        <v>235</v>
      </c>
      <c r="B239" s="3" t="s">
        <v>1800</v>
      </c>
      <c r="C239" s="5">
        <v>1538900.0000000002</v>
      </c>
      <c r="D239" s="162">
        <f t="shared" si="8"/>
        <v>1539000</v>
      </c>
      <c r="F239" s="161">
        <v>605</v>
      </c>
      <c r="G239" s="3" t="s">
        <v>2168</v>
      </c>
      <c r="H239" s="5">
        <v>15800235.000000002</v>
      </c>
      <c r="I239" s="162">
        <f t="shared" si="9"/>
        <v>15801000</v>
      </c>
    </row>
    <row r="240" spans="1:9">
      <c r="A240" s="161">
        <v>236</v>
      </c>
      <c r="B240" s="3" t="s">
        <v>1801</v>
      </c>
      <c r="C240" s="5">
        <v>768350.00000000012</v>
      </c>
      <c r="D240" s="162">
        <f t="shared" si="8"/>
        <v>769000</v>
      </c>
      <c r="F240" s="161">
        <v>606</v>
      </c>
      <c r="G240" s="3" t="s">
        <v>2169</v>
      </c>
      <c r="H240" s="5">
        <v>14043118.100000001</v>
      </c>
      <c r="I240" s="162">
        <f t="shared" si="9"/>
        <v>14044000</v>
      </c>
    </row>
    <row r="241" spans="1:9">
      <c r="A241" s="161">
        <v>237</v>
      </c>
      <c r="B241" s="3" t="s">
        <v>1802</v>
      </c>
      <c r="C241" s="5">
        <v>3056762.5000000005</v>
      </c>
      <c r="D241" s="162">
        <f t="shared" si="8"/>
        <v>3057000</v>
      </c>
      <c r="F241" s="161">
        <v>607</v>
      </c>
      <c r="G241" s="3" t="s">
        <v>2170</v>
      </c>
      <c r="H241" s="5">
        <v>15766496.9</v>
      </c>
      <c r="I241" s="162">
        <f t="shared" si="9"/>
        <v>15767000</v>
      </c>
    </row>
    <row r="242" spans="1:9">
      <c r="A242" s="161">
        <v>238</v>
      </c>
      <c r="B242" s="3" t="s">
        <v>1803</v>
      </c>
      <c r="C242" s="5">
        <v>3334306.8000000003</v>
      </c>
      <c r="D242" s="162">
        <f t="shared" si="8"/>
        <v>3335000</v>
      </c>
      <c r="F242" s="161">
        <v>608</v>
      </c>
      <c r="G242" s="3" t="s">
        <v>2171</v>
      </c>
      <c r="H242" s="5">
        <v>17426717</v>
      </c>
      <c r="I242" s="162">
        <f t="shared" si="9"/>
        <v>17427000</v>
      </c>
    </row>
    <row r="243" spans="1:9">
      <c r="A243" s="161">
        <v>239</v>
      </c>
      <c r="B243" s="3" t="s">
        <v>1804</v>
      </c>
      <c r="C243" s="5">
        <v>3555887.5000000005</v>
      </c>
      <c r="D243" s="162">
        <f t="shared" si="8"/>
        <v>3556000</v>
      </c>
      <c r="F243" s="161">
        <v>609</v>
      </c>
      <c r="G243" s="3" t="s">
        <v>2172</v>
      </c>
      <c r="H243" s="5">
        <v>13306874.9</v>
      </c>
      <c r="I243" s="162">
        <f t="shared" si="9"/>
        <v>13307000</v>
      </c>
    </row>
    <row r="244" spans="1:9" ht="15.75">
      <c r="A244" s="161">
        <v>240</v>
      </c>
      <c r="B244" s="3" t="s">
        <v>1805</v>
      </c>
      <c r="C244" s="5">
        <v>3822087.5000000005</v>
      </c>
      <c r="D244" s="162">
        <f t="shared" si="8"/>
        <v>3823000</v>
      </c>
      <c r="E244" s="24"/>
      <c r="F244" s="161">
        <v>610</v>
      </c>
      <c r="G244" s="3" t="s">
        <v>2173</v>
      </c>
      <c r="H244" s="5">
        <v>12741929.200000001</v>
      </c>
      <c r="I244" s="162">
        <f t="shared" si="9"/>
        <v>12742000</v>
      </c>
    </row>
    <row r="245" spans="1:9">
      <c r="A245" s="161">
        <v>241</v>
      </c>
      <c r="B245" s="3" t="s">
        <v>1806</v>
      </c>
      <c r="C245" s="5">
        <v>1186555.7000000002</v>
      </c>
      <c r="D245" s="162">
        <f t="shared" si="8"/>
        <v>1187000</v>
      </c>
      <c r="F245" s="161">
        <v>611</v>
      </c>
      <c r="G245" s="3" t="s">
        <v>2174</v>
      </c>
      <c r="H245" s="5">
        <v>13725605.300000001</v>
      </c>
      <c r="I245" s="162">
        <f t="shared" si="9"/>
        <v>13726000</v>
      </c>
    </row>
    <row r="246" spans="1:9">
      <c r="A246" s="161">
        <v>242</v>
      </c>
      <c r="B246" s="3" t="s">
        <v>1807</v>
      </c>
      <c r="C246" s="5">
        <v>2444956.8000000003</v>
      </c>
      <c r="D246" s="162">
        <f t="shared" si="8"/>
        <v>2445000</v>
      </c>
      <c r="F246" s="161">
        <v>612</v>
      </c>
      <c r="G246" s="3" t="s">
        <v>2175</v>
      </c>
      <c r="H246" s="5">
        <v>231860.2</v>
      </c>
      <c r="I246" s="162">
        <f t="shared" si="9"/>
        <v>232000</v>
      </c>
    </row>
    <row r="247" spans="1:9">
      <c r="A247" s="161">
        <v>243</v>
      </c>
      <c r="B247" s="3" t="s">
        <v>1808</v>
      </c>
      <c r="C247" s="5">
        <v>4001800.0000000005</v>
      </c>
      <c r="D247" s="162">
        <f t="shared" si="8"/>
        <v>4002000</v>
      </c>
      <c r="F247" s="161">
        <v>613</v>
      </c>
      <c r="G247" s="3" t="s">
        <v>2176</v>
      </c>
      <c r="H247" s="5">
        <v>1931880.5000000002</v>
      </c>
      <c r="I247" s="162">
        <f t="shared" si="9"/>
        <v>1932000</v>
      </c>
    </row>
    <row r="248" spans="1:9">
      <c r="A248" s="161">
        <v>244</v>
      </c>
      <c r="B248" s="3" t="s">
        <v>1809</v>
      </c>
      <c r="C248" s="5">
        <v>1683412.5000000002</v>
      </c>
      <c r="D248" s="162">
        <f t="shared" si="8"/>
        <v>1684000</v>
      </c>
      <c r="F248" s="161">
        <v>614</v>
      </c>
      <c r="G248" s="3" t="s">
        <v>2177</v>
      </c>
      <c r="H248" s="5">
        <v>998383.10000000009</v>
      </c>
      <c r="I248" s="162">
        <f t="shared" si="9"/>
        <v>999000</v>
      </c>
    </row>
    <row r="249" spans="1:9">
      <c r="A249" s="161">
        <v>245</v>
      </c>
      <c r="B249" s="3" t="s">
        <v>1810</v>
      </c>
      <c r="C249" s="5">
        <v>381150.00000000006</v>
      </c>
      <c r="D249" s="162">
        <f t="shared" si="8"/>
        <v>382000</v>
      </c>
      <c r="F249" s="161">
        <v>615</v>
      </c>
      <c r="G249" s="3" t="s">
        <v>2178</v>
      </c>
      <c r="H249" s="5">
        <v>998383.10000000009</v>
      </c>
      <c r="I249" s="162">
        <f t="shared" si="9"/>
        <v>999000</v>
      </c>
    </row>
    <row r="250" spans="1:9">
      <c r="A250" s="161">
        <v>246</v>
      </c>
      <c r="B250" s="3" t="s">
        <v>1811</v>
      </c>
      <c r="C250" s="5">
        <v>355437.5</v>
      </c>
      <c r="D250" s="162">
        <f t="shared" si="8"/>
        <v>356000</v>
      </c>
      <c r="F250" s="161">
        <v>616</v>
      </c>
      <c r="G250" s="3" t="s">
        <v>2179</v>
      </c>
      <c r="H250" s="5">
        <v>1578036.9000000001</v>
      </c>
      <c r="I250" s="162">
        <f t="shared" si="9"/>
        <v>1579000</v>
      </c>
    </row>
    <row r="251" spans="1:9" ht="30">
      <c r="A251" s="161">
        <v>247</v>
      </c>
      <c r="B251" s="3" t="s">
        <v>1812</v>
      </c>
      <c r="C251" s="5">
        <v>1649381.8</v>
      </c>
      <c r="D251" s="162">
        <f t="shared" si="8"/>
        <v>1650000</v>
      </c>
      <c r="F251" s="161">
        <v>617</v>
      </c>
      <c r="G251" s="3" t="s">
        <v>2180</v>
      </c>
      <c r="H251" s="5">
        <v>2493365.6</v>
      </c>
      <c r="I251" s="162">
        <f t="shared" si="9"/>
        <v>2494000</v>
      </c>
    </row>
    <row r="252" spans="1:9" ht="30">
      <c r="A252" s="161">
        <v>248</v>
      </c>
      <c r="B252" s="3" t="s">
        <v>1813</v>
      </c>
      <c r="C252" s="5">
        <v>253344.30000000002</v>
      </c>
      <c r="D252" s="162">
        <f t="shared" si="8"/>
        <v>254000</v>
      </c>
      <c r="F252" s="161">
        <v>618</v>
      </c>
      <c r="G252" s="3" t="s">
        <v>2181</v>
      </c>
      <c r="H252" s="5">
        <v>2601506.6</v>
      </c>
      <c r="I252" s="162">
        <f t="shared" si="9"/>
        <v>2602000</v>
      </c>
    </row>
    <row r="253" spans="1:9">
      <c r="A253" s="161">
        <v>249</v>
      </c>
      <c r="B253" s="3" t="s">
        <v>1814</v>
      </c>
      <c r="C253" s="5">
        <v>760787.50000000012</v>
      </c>
      <c r="D253" s="162">
        <f t="shared" si="8"/>
        <v>761000</v>
      </c>
      <c r="F253" s="161">
        <v>619</v>
      </c>
      <c r="G253" s="3" t="s">
        <v>2182</v>
      </c>
      <c r="H253" s="5">
        <v>1829792.8</v>
      </c>
      <c r="I253" s="162">
        <f t="shared" si="9"/>
        <v>1830000</v>
      </c>
    </row>
    <row r="254" spans="1:9">
      <c r="A254" s="161">
        <v>250</v>
      </c>
      <c r="B254" s="3" t="s">
        <v>1815</v>
      </c>
      <c r="C254" s="5">
        <v>1729544.3</v>
      </c>
      <c r="D254" s="162">
        <f t="shared" si="8"/>
        <v>1730000</v>
      </c>
      <c r="F254" s="161">
        <v>620</v>
      </c>
      <c r="G254" s="3" t="s">
        <v>2183</v>
      </c>
      <c r="H254" s="5">
        <v>315782.5</v>
      </c>
      <c r="I254" s="162">
        <f t="shared" si="9"/>
        <v>316000</v>
      </c>
    </row>
    <row r="255" spans="1:9">
      <c r="A255" s="161">
        <v>251</v>
      </c>
      <c r="B255" s="3" t="s">
        <v>1816</v>
      </c>
      <c r="C255" s="5">
        <v>253344.30000000002</v>
      </c>
      <c r="D255" s="162">
        <f t="shared" si="8"/>
        <v>254000</v>
      </c>
      <c r="F255" s="161">
        <v>621</v>
      </c>
      <c r="G255" s="3" t="s">
        <v>2184</v>
      </c>
      <c r="H255" s="5">
        <v>315782.5</v>
      </c>
      <c r="I255" s="162">
        <f t="shared" si="9"/>
        <v>316000</v>
      </c>
    </row>
    <row r="256" spans="1:9">
      <c r="A256" s="161">
        <v>252</v>
      </c>
      <c r="B256" s="3" t="s">
        <v>1817</v>
      </c>
      <c r="C256" s="5">
        <v>279056.80000000005</v>
      </c>
      <c r="D256" s="162">
        <f t="shared" si="8"/>
        <v>280000</v>
      </c>
      <c r="F256" s="161">
        <v>622</v>
      </c>
      <c r="G256" s="3" t="s">
        <v>2185</v>
      </c>
      <c r="H256" s="5">
        <v>1399812.7000000002</v>
      </c>
      <c r="I256" s="162">
        <f t="shared" si="9"/>
        <v>1400000</v>
      </c>
    </row>
    <row r="257" spans="1:9">
      <c r="A257" s="161">
        <v>253</v>
      </c>
      <c r="B257" s="3" t="s">
        <v>1818</v>
      </c>
      <c r="C257" s="5">
        <v>419719.30000000005</v>
      </c>
      <c r="D257" s="162">
        <f t="shared" si="8"/>
        <v>420000</v>
      </c>
      <c r="F257" s="161">
        <v>623</v>
      </c>
      <c r="G257" s="3" t="s">
        <v>2186</v>
      </c>
      <c r="H257" s="5">
        <v>1443935.9000000001</v>
      </c>
      <c r="I257" s="162">
        <f t="shared" si="9"/>
        <v>1444000</v>
      </c>
    </row>
    <row r="258" spans="1:9">
      <c r="A258" s="161">
        <v>254</v>
      </c>
      <c r="B258" s="3" t="s">
        <v>1819</v>
      </c>
      <c r="C258" s="5">
        <v>381150.00000000006</v>
      </c>
      <c r="D258" s="162">
        <f t="shared" si="8"/>
        <v>382000</v>
      </c>
      <c r="F258" s="161">
        <v>624</v>
      </c>
      <c r="G258" s="3" t="s">
        <v>2187</v>
      </c>
      <c r="H258" s="5">
        <v>1363476.4000000001</v>
      </c>
      <c r="I258" s="162">
        <f t="shared" si="9"/>
        <v>1364000</v>
      </c>
    </row>
    <row r="259" spans="1:9">
      <c r="A259" s="161">
        <v>255</v>
      </c>
      <c r="B259" s="3" t="s">
        <v>1820</v>
      </c>
      <c r="C259" s="5">
        <v>253344.30000000002</v>
      </c>
      <c r="D259" s="162">
        <f t="shared" si="8"/>
        <v>254000</v>
      </c>
      <c r="F259" s="161">
        <v>625</v>
      </c>
      <c r="G259" s="3" t="s">
        <v>2188</v>
      </c>
      <c r="H259" s="5">
        <v>252627.10000000003</v>
      </c>
      <c r="I259" s="162">
        <f t="shared" si="9"/>
        <v>253000</v>
      </c>
    </row>
    <row r="260" spans="1:9">
      <c r="A260" s="161">
        <v>256</v>
      </c>
      <c r="B260" s="3" t="s">
        <v>1821</v>
      </c>
      <c r="C260" s="5">
        <v>253345.40000000002</v>
      </c>
      <c r="D260" s="162">
        <f t="shared" si="8"/>
        <v>254000</v>
      </c>
      <c r="F260" s="161">
        <v>626</v>
      </c>
      <c r="G260" s="3" t="s">
        <v>2189</v>
      </c>
      <c r="H260" s="5">
        <v>928306.50000000012</v>
      </c>
      <c r="I260" s="162">
        <f t="shared" si="9"/>
        <v>929000</v>
      </c>
    </row>
    <row r="261" spans="1:9">
      <c r="A261" s="161">
        <v>257</v>
      </c>
      <c r="B261" s="3" t="s">
        <v>1822</v>
      </c>
      <c r="C261" s="5">
        <v>191331.80000000002</v>
      </c>
      <c r="D261" s="162">
        <f t="shared" si="8"/>
        <v>192000</v>
      </c>
      <c r="F261" s="161">
        <v>627</v>
      </c>
      <c r="G261" s="3" t="s">
        <v>2190</v>
      </c>
      <c r="H261" s="5">
        <v>180816.90000000002</v>
      </c>
      <c r="I261" s="162">
        <f t="shared" si="9"/>
        <v>181000</v>
      </c>
    </row>
    <row r="262" spans="1:9">
      <c r="A262" s="161">
        <v>258</v>
      </c>
      <c r="B262" s="3" t="s">
        <v>1823</v>
      </c>
      <c r="C262" s="5">
        <v>1537456.8</v>
      </c>
      <c r="D262" s="162">
        <f t="shared" ref="D262:D325" si="10">ROUNDUP(C262,-3)</f>
        <v>1538000</v>
      </c>
      <c r="F262" s="161">
        <v>628</v>
      </c>
      <c r="G262" s="3" t="s">
        <v>2191</v>
      </c>
      <c r="H262" s="5">
        <v>195523.90000000002</v>
      </c>
      <c r="I262" s="162">
        <f t="shared" si="9"/>
        <v>196000</v>
      </c>
    </row>
    <row r="263" spans="1:9">
      <c r="A263" s="161">
        <v>259</v>
      </c>
      <c r="B263" s="3" t="s">
        <v>1824</v>
      </c>
      <c r="C263" s="5">
        <v>105119.3</v>
      </c>
      <c r="D263" s="162">
        <f t="shared" si="10"/>
        <v>106000</v>
      </c>
      <c r="F263" s="161">
        <v>629</v>
      </c>
      <c r="G263" s="3" t="s">
        <v>2192</v>
      </c>
      <c r="H263" s="5">
        <v>90841.3</v>
      </c>
      <c r="I263" s="162">
        <f t="shared" si="9"/>
        <v>91000</v>
      </c>
    </row>
    <row r="264" spans="1:9">
      <c r="A264" s="161">
        <v>260</v>
      </c>
      <c r="B264" s="3" t="s">
        <v>1825</v>
      </c>
      <c r="C264" s="5">
        <v>127050.00000000001</v>
      </c>
      <c r="D264" s="162">
        <f t="shared" si="10"/>
        <v>128000</v>
      </c>
      <c r="F264" s="161">
        <v>630</v>
      </c>
      <c r="G264" s="3" t="s">
        <v>2193</v>
      </c>
      <c r="H264" s="5">
        <v>195523.90000000002</v>
      </c>
      <c r="I264" s="162">
        <f t="shared" si="9"/>
        <v>196000</v>
      </c>
    </row>
    <row r="265" spans="1:9">
      <c r="A265" s="161">
        <v>261</v>
      </c>
      <c r="B265" s="35" t="s">
        <v>1826</v>
      </c>
      <c r="C265" s="35">
        <v>1268231.8</v>
      </c>
      <c r="D265" s="162">
        <f t="shared" si="10"/>
        <v>1269000</v>
      </c>
      <c r="F265" s="161">
        <v>631</v>
      </c>
      <c r="G265" s="3" t="s">
        <v>2194</v>
      </c>
      <c r="H265" s="5">
        <v>542449.60000000009</v>
      </c>
      <c r="I265" s="162">
        <f t="shared" si="9"/>
        <v>543000</v>
      </c>
    </row>
    <row r="266" spans="1:9">
      <c r="A266" s="161">
        <v>262</v>
      </c>
      <c r="B266" s="3" t="s">
        <v>1827</v>
      </c>
      <c r="C266" s="5">
        <v>4950000</v>
      </c>
      <c r="D266" s="162">
        <f t="shared" si="10"/>
        <v>4950000</v>
      </c>
      <c r="F266" s="161">
        <v>632</v>
      </c>
      <c r="G266" s="3" t="s">
        <v>2195</v>
      </c>
      <c r="H266" s="5">
        <v>157457.30000000002</v>
      </c>
      <c r="I266" s="162">
        <f t="shared" si="9"/>
        <v>158000</v>
      </c>
    </row>
    <row r="267" spans="1:9">
      <c r="A267" s="161">
        <v>263</v>
      </c>
      <c r="B267" s="3" t="s">
        <v>1828</v>
      </c>
      <c r="C267" s="5">
        <v>11000000</v>
      </c>
      <c r="D267" s="162">
        <f t="shared" si="10"/>
        <v>11000000</v>
      </c>
      <c r="F267" s="161">
        <v>633</v>
      </c>
      <c r="G267" s="3" t="s">
        <v>2196</v>
      </c>
      <c r="H267" s="5">
        <v>465450.7</v>
      </c>
      <c r="I267" s="162">
        <f t="shared" si="9"/>
        <v>466000</v>
      </c>
    </row>
    <row r="268" spans="1:9" ht="18.75" customHeight="1">
      <c r="A268" s="161">
        <v>264</v>
      </c>
      <c r="B268" s="3" t="s">
        <v>1829</v>
      </c>
      <c r="C268" s="5">
        <v>25850.000000000004</v>
      </c>
      <c r="D268" s="162">
        <f t="shared" si="10"/>
        <v>26000</v>
      </c>
      <c r="F268" s="161">
        <v>634</v>
      </c>
      <c r="G268" s="3" t="s">
        <v>2197</v>
      </c>
      <c r="H268" s="5">
        <v>1153245.5</v>
      </c>
      <c r="I268" s="162">
        <f t="shared" si="9"/>
        <v>1154000</v>
      </c>
    </row>
    <row r="269" spans="1:9">
      <c r="A269" s="161">
        <v>265</v>
      </c>
      <c r="B269" s="3" t="s">
        <v>1830</v>
      </c>
      <c r="C269" s="5">
        <v>72600</v>
      </c>
      <c r="D269" s="162">
        <f t="shared" si="10"/>
        <v>73000</v>
      </c>
      <c r="F269" s="161">
        <v>635</v>
      </c>
      <c r="G269" s="3" t="s">
        <v>2198</v>
      </c>
      <c r="H269" s="5">
        <v>1153245.5</v>
      </c>
      <c r="I269" s="162">
        <f t="shared" si="9"/>
        <v>1154000</v>
      </c>
    </row>
    <row r="270" spans="1:9">
      <c r="A270" s="161">
        <v>266</v>
      </c>
      <c r="B270" s="3" t="s">
        <v>1831</v>
      </c>
      <c r="C270" s="5">
        <v>264000</v>
      </c>
      <c r="D270" s="162">
        <f t="shared" si="10"/>
        <v>264000</v>
      </c>
      <c r="F270" s="161">
        <v>636</v>
      </c>
      <c r="G270" s="3" t="s">
        <v>2199</v>
      </c>
      <c r="H270" s="5">
        <v>1616100.2000000002</v>
      </c>
      <c r="I270" s="162">
        <f t="shared" si="9"/>
        <v>1617000</v>
      </c>
    </row>
    <row r="271" spans="1:9">
      <c r="A271" s="161">
        <v>267</v>
      </c>
      <c r="B271" s="3" t="s">
        <v>1832</v>
      </c>
      <c r="C271" s="5">
        <v>308000</v>
      </c>
      <c r="D271" s="162">
        <f t="shared" si="10"/>
        <v>308000</v>
      </c>
      <c r="F271" s="161">
        <v>637</v>
      </c>
      <c r="G271" s="3" t="s">
        <v>2200</v>
      </c>
      <c r="H271" s="5">
        <v>1616100.2000000002</v>
      </c>
      <c r="I271" s="162">
        <f t="shared" si="9"/>
        <v>1617000</v>
      </c>
    </row>
    <row r="272" spans="1:9">
      <c r="A272" s="161">
        <v>268</v>
      </c>
      <c r="B272" s="3" t="s">
        <v>1833</v>
      </c>
      <c r="C272" s="5">
        <v>144444.30000000002</v>
      </c>
      <c r="D272" s="162">
        <f t="shared" si="10"/>
        <v>145000</v>
      </c>
      <c r="F272" s="161">
        <v>638</v>
      </c>
      <c r="G272" s="3" t="s">
        <v>2201</v>
      </c>
      <c r="H272" s="5">
        <v>1731165.7000000002</v>
      </c>
      <c r="I272" s="162">
        <f t="shared" si="9"/>
        <v>1732000</v>
      </c>
    </row>
    <row r="273" spans="1:9" ht="30">
      <c r="A273" s="161">
        <v>269</v>
      </c>
      <c r="B273" s="3" t="s">
        <v>1834</v>
      </c>
      <c r="C273" s="5">
        <v>5764894.3000000007</v>
      </c>
      <c r="D273" s="162">
        <f t="shared" si="10"/>
        <v>5765000</v>
      </c>
      <c r="F273" s="161">
        <v>639</v>
      </c>
      <c r="G273" s="3" t="s">
        <v>2202</v>
      </c>
      <c r="H273" s="5">
        <v>264735.90000000002</v>
      </c>
      <c r="I273" s="162">
        <f t="shared" si="9"/>
        <v>265000</v>
      </c>
    </row>
    <row r="274" spans="1:9">
      <c r="A274" s="161">
        <v>270</v>
      </c>
      <c r="B274" s="3" t="s">
        <v>1835</v>
      </c>
      <c r="C274" s="5">
        <v>2789806.8000000003</v>
      </c>
      <c r="D274" s="162">
        <f t="shared" si="10"/>
        <v>2790000</v>
      </c>
      <c r="F274" s="161">
        <v>640</v>
      </c>
      <c r="G274" s="3" t="s">
        <v>2203</v>
      </c>
      <c r="H274" s="5">
        <v>876397.50000000012</v>
      </c>
      <c r="I274" s="162">
        <f t="shared" si="9"/>
        <v>877000</v>
      </c>
    </row>
    <row r="275" spans="1:9">
      <c r="A275" s="161">
        <v>271</v>
      </c>
      <c r="B275" s="3" t="s">
        <v>1836</v>
      </c>
      <c r="C275" s="5">
        <v>77894.3</v>
      </c>
      <c r="D275" s="162">
        <f t="shared" si="10"/>
        <v>78000</v>
      </c>
      <c r="F275" s="161">
        <v>641</v>
      </c>
      <c r="G275" s="3" t="s">
        <v>2204</v>
      </c>
      <c r="H275" s="5">
        <v>1367804.9000000001</v>
      </c>
      <c r="I275" s="162">
        <f t="shared" si="9"/>
        <v>1368000</v>
      </c>
    </row>
    <row r="276" spans="1:9">
      <c r="A276" s="161">
        <v>272</v>
      </c>
      <c r="B276" s="3" t="s">
        <v>1837</v>
      </c>
      <c r="C276" s="5">
        <v>173940.80000000002</v>
      </c>
      <c r="D276" s="162">
        <f t="shared" si="10"/>
        <v>174000</v>
      </c>
      <c r="F276" s="161">
        <v>642</v>
      </c>
      <c r="G276" s="3" t="s">
        <v>2205</v>
      </c>
      <c r="H276" s="5">
        <v>155730.30000000002</v>
      </c>
      <c r="I276" s="162">
        <f t="shared" si="9"/>
        <v>156000</v>
      </c>
    </row>
    <row r="277" spans="1:9">
      <c r="A277" s="161">
        <v>273</v>
      </c>
      <c r="B277" s="3" t="s">
        <v>1838</v>
      </c>
      <c r="C277" s="5">
        <v>2536462.5</v>
      </c>
      <c r="D277" s="162">
        <f t="shared" si="10"/>
        <v>2537000</v>
      </c>
      <c r="F277" s="161">
        <v>643</v>
      </c>
      <c r="G277" s="3" t="s">
        <v>2206</v>
      </c>
      <c r="H277" s="5">
        <v>1876510.9000000001</v>
      </c>
      <c r="I277" s="162">
        <f t="shared" si="9"/>
        <v>1877000</v>
      </c>
    </row>
    <row r="278" spans="1:9">
      <c r="A278" s="161">
        <v>274</v>
      </c>
      <c r="B278" s="3" t="s">
        <v>1839</v>
      </c>
      <c r="C278" s="5">
        <v>887837.50000000012</v>
      </c>
      <c r="D278" s="162">
        <f t="shared" si="10"/>
        <v>888000</v>
      </c>
      <c r="F278" s="161">
        <v>644</v>
      </c>
      <c r="G278" s="3" t="s">
        <v>2207</v>
      </c>
      <c r="H278" s="5">
        <v>1925000.0000000002</v>
      </c>
      <c r="I278" s="162">
        <f t="shared" si="9"/>
        <v>1925000</v>
      </c>
    </row>
    <row r="279" spans="1:9">
      <c r="A279" s="161">
        <v>275</v>
      </c>
      <c r="B279" s="3" t="s">
        <v>1840</v>
      </c>
      <c r="C279" s="5">
        <v>191331.80000000002</v>
      </c>
      <c r="D279" s="162">
        <f t="shared" si="10"/>
        <v>192000</v>
      </c>
      <c r="F279" s="161">
        <v>645</v>
      </c>
      <c r="G279" s="3" t="s">
        <v>2208</v>
      </c>
      <c r="H279" s="5">
        <v>2090000.0000000002</v>
      </c>
      <c r="I279" s="162">
        <f t="shared" si="9"/>
        <v>2090000</v>
      </c>
    </row>
    <row r="280" spans="1:9" ht="15.75">
      <c r="A280" s="161">
        <v>276</v>
      </c>
      <c r="B280" s="3" t="s">
        <v>1841</v>
      </c>
      <c r="C280" s="5">
        <v>76381.8</v>
      </c>
      <c r="D280" s="162">
        <f t="shared" si="10"/>
        <v>77000</v>
      </c>
      <c r="E280" s="24"/>
      <c r="F280" s="161">
        <v>646</v>
      </c>
      <c r="G280" s="3" t="s">
        <v>2209</v>
      </c>
      <c r="H280" s="5">
        <v>2090000.0000000002</v>
      </c>
      <c r="I280" s="162">
        <f t="shared" si="9"/>
        <v>2090000</v>
      </c>
    </row>
    <row r="281" spans="1:9">
      <c r="A281" s="161">
        <v>277</v>
      </c>
      <c r="B281" s="3" t="s">
        <v>1842</v>
      </c>
      <c r="C281" s="5">
        <v>1014131.8</v>
      </c>
      <c r="D281" s="162">
        <f t="shared" si="10"/>
        <v>1015000</v>
      </c>
      <c r="F281" s="161">
        <v>647</v>
      </c>
      <c r="G281" s="3" t="s">
        <v>2210</v>
      </c>
      <c r="H281" s="5">
        <v>1595000.0000000002</v>
      </c>
      <c r="I281" s="162">
        <f t="shared" si="9"/>
        <v>1595000</v>
      </c>
    </row>
    <row r="282" spans="1:9">
      <c r="A282" s="161">
        <v>278</v>
      </c>
      <c r="B282" s="3" t="s">
        <v>1843</v>
      </c>
      <c r="C282" s="5">
        <v>634494.30000000005</v>
      </c>
      <c r="D282" s="162">
        <f t="shared" si="10"/>
        <v>635000</v>
      </c>
      <c r="F282" s="161">
        <v>648</v>
      </c>
      <c r="G282" s="3" t="s">
        <v>2211</v>
      </c>
      <c r="H282" s="5">
        <v>3850000.0000000005</v>
      </c>
      <c r="I282" s="162">
        <f t="shared" si="9"/>
        <v>3850000</v>
      </c>
    </row>
    <row r="283" spans="1:9" ht="30">
      <c r="A283" s="161">
        <v>279</v>
      </c>
      <c r="B283" s="3" t="s">
        <v>1844</v>
      </c>
      <c r="C283" s="5">
        <v>887837.50000000012</v>
      </c>
      <c r="D283" s="162">
        <f t="shared" si="10"/>
        <v>888000</v>
      </c>
      <c r="F283" s="161">
        <v>649</v>
      </c>
      <c r="G283" s="3" t="s">
        <v>2212</v>
      </c>
      <c r="H283" s="5">
        <v>1650000.0000000002</v>
      </c>
      <c r="I283" s="162">
        <f t="shared" ref="I283:I346" si="11">ROUNDUP(H283,-3)</f>
        <v>1650000</v>
      </c>
    </row>
    <row r="284" spans="1:9">
      <c r="A284" s="161">
        <v>280</v>
      </c>
      <c r="B284" s="3" t="s">
        <v>1845</v>
      </c>
      <c r="C284" s="5">
        <v>191331.80000000002</v>
      </c>
      <c r="D284" s="162">
        <f t="shared" si="10"/>
        <v>192000</v>
      </c>
      <c r="F284" s="161">
        <v>650</v>
      </c>
      <c r="G284" s="3" t="s">
        <v>2213</v>
      </c>
      <c r="H284" s="5">
        <v>330000</v>
      </c>
      <c r="I284" s="162">
        <f t="shared" si="11"/>
        <v>330000</v>
      </c>
    </row>
    <row r="285" spans="1:9">
      <c r="A285" s="161">
        <v>281</v>
      </c>
      <c r="B285" s="3" t="s">
        <v>1846</v>
      </c>
      <c r="C285" s="5">
        <v>431062.50000000006</v>
      </c>
      <c r="D285" s="162">
        <f t="shared" si="10"/>
        <v>432000</v>
      </c>
      <c r="F285" s="161">
        <v>651</v>
      </c>
      <c r="G285" s="3" t="s">
        <v>2214</v>
      </c>
      <c r="H285" s="5">
        <v>2310000</v>
      </c>
      <c r="I285" s="162">
        <f t="shared" si="11"/>
        <v>2310000</v>
      </c>
    </row>
    <row r="286" spans="1:9">
      <c r="A286" s="161">
        <v>282</v>
      </c>
      <c r="B286" s="3" t="s">
        <v>1847</v>
      </c>
      <c r="C286" s="5">
        <v>507444.30000000005</v>
      </c>
      <c r="D286" s="162">
        <f t="shared" si="10"/>
        <v>508000</v>
      </c>
      <c r="F286" s="161">
        <v>652</v>
      </c>
      <c r="G286" s="3" t="s">
        <v>2215</v>
      </c>
      <c r="H286" s="5">
        <v>550000</v>
      </c>
      <c r="I286" s="162">
        <f t="shared" si="11"/>
        <v>550000</v>
      </c>
    </row>
    <row r="287" spans="1:9">
      <c r="A287" s="161">
        <v>283</v>
      </c>
      <c r="B287" s="3" t="s">
        <v>1848</v>
      </c>
      <c r="C287" s="5">
        <v>507444.30000000005</v>
      </c>
      <c r="D287" s="162">
        <f t="shared" si="10"/>
        <v>508000</v>
      </c>
      <c r="F287" s="161">
        <v>653</v>
      </c>
      <c r="G287" s="3" t="s">
        <v>2216</v>
      </c>
      <c r="H287" s="5">
        <v>2090000.0000000002</v>
      </c>
      <c r="I287" s="162">
        <f t="shared" si="11"/>
        <v>2090000</v>
      </c>
    </row>
    <row r="288" spans="1:9">
      <c r="A288" s="161">
        <v>284</v>
      </c>
      <c r="B288" s="3" t="s">
        <v>1849</v>
      </c>
      <c r="C288" s="5">
        <v>253344.30000000002</v>
      </c>
      <c r="D288" s="162">
        <f t="shared" si="10"/>
        <v>254000</v>
      </c>
      <c r="F288" s="161">
        <v>654</v>
      </c>
      <c r="G288" s="3" t="s">
        <v>2217</v>
      </c>
      <c r="H288" s="5">
        <v>1650000.0000000002</v>
      </c>
      <c r="I288" s="162">
        <f t="shared" si="11"/>
        <v>1650000</v>
      </c>
    </row>
    <row r="289" spans="1:9">
      <c r="A289" s="161">
        <v>285</v>
      </c>
      <c r="B289" s="3" t="s">
        <v>1850</v>
      </c>
      <c r="C289" s="5">
        <v>307794.30000000005</v>
      </c>
      <c r="D289" s="162">
        <f t="shared" si="10"/>
        <v>308000</v>
      </c>
      <c r="F289" s="161">
        <v>655</v>
      </c>
      <c r="G289" s="3" t="s">
        <v>2218</v>
      </c>
      <c r="H289" s="5">
        <v>770000.00000000012</v>
      </c>
      <c r="I289" s="162">
        <f t="shared" si="11"/>
        <v>770000</v>
      </c>
    </row>
    <row r="290" spans="1:9">
      <c r="A290" s="161">
        <v>286</v>
      </c>
      <c r="B290" s="3" t="s">
        <v>1851</v>
      </c>
      <c r="C290" s="5">
        <v>202675.00000000003</v>
      </c>
      <c r="D290" s="162">
        <f t="shared" si="10"/>
        <v>203000</v>
      </c>
      <c r="F290" s="161">
        <v>656</v>
      </c>
      <c r="G290" s="3" t="s">
        <v>2219</v>
      </c>
      <c r="H290" s="5">
        <v>2145000</v>
      </c>
      <c r="I290" s="162">
        <f t="shared" si="11"/>
        <v>2145000</v>
      </c>
    </row>
    <row r="291" spans="1:9">
      <c r="A291" s="161">
        <v>287</v>
      </c>
      <c r="B291" s="3" t="s">
        <v>1852</v>
      </c>
      <c r="C291" s="5">
        <v>50820.000000000007</v>
      </c>
      <c r="D291" s="162">
        <f t="shared" si="10"/>
        <v>51000</v>
      </c>
      <c r="F291" s="161">
        <v>657</v>
      </c>
      <c r="G291" s="3" t="s">
        <v>2220</v>
      </c>
      <c r="H291" s="5">
        <v>8800000</v>
      </c>
      <c r="I291" s="162">
        <f t="shared" si="11"/>
        <v>8800000</v>
      </c>
    </row>
    <row r="292" spans="1:9">
      <c r="A292" s="161">
        <v>288</v>
      </c>
      <c r="B292" s="3" t="s">
        <v>1853</v>
      </c>
      <c r="C292" s="5">
        <v>50820.000000000007</v>
      </c>
      <c r="D292" s="162">
        <f t="shared" si="10"/>
        <v>51000</v>
      </c>
      <c r="F292" s="161">
        <v>658</v>
      </c>
      <c r="G292" s="3" t="s">
        <v>2221</v>
      </c>
      <c r="H292" s="5">
        <v>1100000</v>
      </c>
      <c r="I292" s="162">
        <f t="shared" si="11"/>
        <v>1100000</v>
      </c>
    </row>
    <row r="293" spans="1:9">
      <c r="A293" s="161">
        <v>289</v>
      </c>
      <c r="B293" s="3" t="s">
        <v>1854</v>
      </c>
      <c r="C293" s="5">
        <v>865150.00000000012</v>
      </c>
      <c r="D293" s="162">
        <f t="shared" si="10"/>
        <v>866000</v>
      </c>
      <c r="F293" s="161">
        <v>659</v>
      </c>
      <c r="G293" s="3" t="s">
        <v>2222</v>
      </c>
      <c r="H293" s="5">
        <v>385000.00000000006</v>
      </c>
      <c r="I293" s="162">
        <f t="shared" si="11"/>
        <v>385000</v>
      </c>
    </row>
    <row r="294" spans="1:9">
      <c r="A294" s="161">
        <v>290</v>
      </c>
      <c r="B294" s="3" t="s">
        <v>1855</v>
      </c>
      <c r="C294" s="5">
        <v>89994.3</v>
      </c>
      <c r="D294" s="162">
        <f t="shared" si="10"/>
        <v>90000</v>
      </c>
      <c r="F294" s="161">
        <v>660</v>
      </c>
      <c r="G294" s="3" t="s">
        <v>2223</v>
      </c>
      <c r="H294" s="5">
        <v>2200000</v>
      </c>
      <c r="I294" s="162">
        <f t="shared" si="11"/>
        <v>2200000</v>
      </c>
    </row>
    <row r="295" spans="1:9" ht="30">
      <c r="A295" s="161">
        <v>291</v>
      </c>
      <c r="B295" s="3" t="s">
        <v>1856</v>
      </c>
      <c r="C295" s="5">
        <v>1014134.0000000001</v>
      </c>
      <c r="D295" s="162">
        <f t="shared" si="10"/>
        <v>1015000</v>
      </c>
      <c r="F295" s="161">
        <v>661</v>
      </c>
      <c r="G295" s="3" t="s">
        <v>2224</v>
      </c>
      <c r="H295" s="5">
        <v>385000.00000000006</v>
      </c>
      <c r="I295" s="162">
        <f t="shared" si="11"/>
        <v>385000</v>
      </c>
    </row>
    <row r="296" spans="1:9" ht="30">
      <c r="A296" s="161">
        <v>292</v>
      </c>
      <c r="B296" s="3" t="s">
        <v>1857</v>
      </c>
      <c r="C296" s="5">
        <v>1014131.8</v>
      </c>
      <c r="D296" s="162">
        <f t="shared" si="10"/>
        <v>1015000</v>
      </c>
      <c r="F296" s="161">
        <v>662</v>
      </c>
      <c r="G296" s="3" t="s">
        <v>2225</v>
      </c>
      <c r="H296" s="5">
        <v>550000</v>
      </c>
      <c r="I296" s="162">
        <f t="shared" si="11"/>
        <v>550000</v>
      </c>
    </row>
    <row r="297" spans="1:9" ht="30">
      <c r="A297" s="161">
        <v>293</v>
      </c>
      <c r="B297" s="3" t="s">
        <v>1858</v>
      </c>
      <c r="C297" s="5">
        <v>2046412.5000000002</v>
      </c>
      <c r="D297" s="162">
        <f t="shared" si="10"/>
        <v>2047000</v>
      </c>
      <c r="F297" s="161">
        <v>663</v>
      </c>
      <c r="G297" s="3" t="s">
        <v>2226</v>
      </c>
      <c r="H297" s="5">
        <v>770000.00000000012</v>
      </c>
      <c r="I297" s="162">
        <f t="shared" si="11"/>
        <v>770000</v>
      </c>
    </row>
    <row r="298" spans="1:9" ht="30">
      <c r="A298" s="161">
        <v>294</v>
      </c>
      <c r="B298" s="3" t="s">
        <v>1859</v>
      </c>
      <c r="C298" s="5">
        <v>279056.80000000005</v>
      </c>
      <c r="D298" s="162">
        <f t="shared" si="10"/>
        <v>280000</v>
      </c>
      <c r="F298" s="161">
        <v>664</v>
      </c>
      <c r="G298" s="3" t="s">
        <v>2227</v>
      </c>
      <c r="H298" s="5">
        <v>990000.00000000012</v>
      </c>
      <c r="I298" s="162">
        <f t="shared" si="11"/>
        <v>990000</v>
      </c>
    </row>
    <row r="299" spans="1:9">
      <c r="A299" s="161">
        <v>295</v>
      </c>
      <c r="B299" s="3" t="s">
        <v>1860</v>
      </c>
      <c r="C299" s="5">
        <v>140663.6</v>
      </c>
      <c r="D299" s="162">
        <f t="shared" si="10"/>
        <v>141000</v>
      </c>
      <c r="F299" s="161">
        <v>665</v>
      </c>
      <c r="G299" s="3" t="s">
        <v>2228</v>
      </c>
      <c r="H299" s="5">
        <v>385000.00000000006</v>
      </c>
      <c r="I299" s="162">
        <f t="shared" si="11"/>
        <v>385000</v>
      </c>
    </row>
    <row r="300" spans="1:9">
      <c r="A300" s="161">
        <v>296</v>
      </c>
      <c r="B300" s="3" t="s">
        <v>1861</v>
      </c>
      <c r="C300" s="5">
        <v>140662.5</v>
      </c>
      <c r="D300" s="162">
        <f t="shared" si="10"/>
        <v>141000</v>
      </c>
      <c r="F300" s="161">
        <v>666</v>
      </c>
      <c r="G300" s="3" t="s">
        <v>2229</v>
      </c>
      <c r="H300" s="5">
        <v>605000</v>
      </c>
      <c r="I300" s="162">
        <f t="shared" si="11"/>
        <v>605000</v>
      </c>
    </row>
    <row r="301" spans="1:9">
      <c r="A301" s="161">
        <v>297</v>
      </c>
      <c r="B301" s="3" t="s">
        <v>1862</v>
      </c>
      <c r="C301" s="5">
        <v>1268080</v>
      </c>
      <c r="D301" s="162">
        <f t="shared" si="10"/>
        <v>1269000</v>
      </c>
      <c r="F301" s="161">
        <v>667</v>
      </c>
      <c r="G301" s="3" t="s">
        <v>2230</v>
      </c>
      <c r="H301" s="5">
        <v>495000.00000000006</v>
      </c>
      <c r="I301" s="162">
        <f t="shared" si="11"/>
        <v>495000</v>
      </c>
    </row>
    <row r="302" spans="1:9">
      <c r="A302" s="161">
        <v>298</v>
      </c>
      <c r="B302" s="3" t="s">
        <v>1863</v>
      </c>
      <c r="C302" s="5">
        <v>1268231.8</v>
      </c>
      <c r="D302" s="162">
        <f t="shared" si="10"/>
        <v>1269000</v>
      </c>
      <c r="F302" s="161">
        <v>668</v>
      </c>
      <c r="G302" s="3" t="s">
        <v>2231</v>
      </c>
      <c r="H302" s="5">
        <v>3245000.0000000005</v>
      </c>
      <c r="I302" s="162">
        <f t="shared" si="11"/>
        <v>3245000</v>
      </c>
    </row>
    <row r="303" spans="1:9">
      <c r="A303" s="161">
        <v>299</v>
      </c>
      <c r="B303" s="3" t="s">
        <v>1864</v>
      </c>
      <c r="C303" s="5">
        <v>279059</v>
      </c>
      <c r="D303" s="162">
        <f t="shared" si="10"/>
        <v>280000</v>
      </c>
      <c r="F303" s="161">
        <v>669</v>
      </c>
      <c r="G303" s="3" t="s">
        <v>2232</v>
      </c>
      <c r="H303" s="5">
        <v>165000</v>
      </c>
      <c r="I303" s="162">
        <f t="shared" si="11"/>
        <v>165000</v>
      </c>
    </row>
    <row r="304" spans="1:9">
      <c r="A304" s="161">
        <v>300</v>
      </c>
      <c r="B304" s="3" t="s">
        <v>1865</v>
      </c>
      <c r="C304" s="5">
        <v>279056.80000000005</v>
      </c>
      <c r="D304" s="162">
        <f t="shared" si="10"/>
        <v>280000</v>
      </c>
      <c r="F304" s="161">
        <v>670</v>
      </c>
      <c r="G304" s="3" t="s">
        <v>2233</v>
      </c>
      <c r="H304" s="5">
        <v>990000.00000000012</v>
      </c>
      <c r="I304" s="162">
        <f t="shared" si="11"/>
        <v>990000</v>
      </c>
    </row>
    <row r="305" spans="1:9">
      <c r="A305" s="161">
        <v>301</v>
      </c>
      <c r="B305" s="3" t="s">
        <v>1866</v>
      </c>
      <c r="C305" s="5">
        <v>419870.00000000006</v>
      </c>
      <c r="D305" s="162">
        <f t="shared" si="10"/>
        <v>420000</v>
      </c>
      <c r="F305" s="161">
        <v>671</v>
      </c>
      <c r="G305" s="3" t="s">
        <v>2234</v>
      </c>
      <c r="H305" s="5">
        <v>440000.00000000006</v>
      </c>
      <c r="I305" s="162">
        <f t="shared" si="11"/>
        <v>440000</v>
      </c>
    </row>
    <row r="306" spans="1:9">
      <c r="A306" s="161">
        <v>302</v>
      </c>
      <c r="B306" s="3" t="s">
        <v>1867</v>
      </c>
      <c r="C306" s="5">
        <v>419870.00000000006</v>
      </c>
      <c r="D306" s="162">
        <f t="shared" si="10"/>
        <v>420000</v>
      </c>
      <c r="F306" s="161">
        <v>672</v>
      </c>
      <c r="G306" s="3" t="s">
        <v>2235</v>
      </c>
      <c r="H306" s="5">
        <v>385000.00000000006</v>
      </c>
      <c r="I306" s="162">
        <f t="shared" si="11"/>
        <v>385000</v>
      </c>
    </row>
    <row r="307" spans="1:9">
      <c r="A307" s="161">
        <v>303</v>
      </c>
      <c r="B307" s="3" t="s">
        <v>1868</v>
      </c>
      <c r="C307" s="5">
        <v>279059</v>
      </c>
      <c r="D307" s="162">
        <f t="shared" si="10"/>
        <v>280000</v>
      </c>
      <c r="F307" s="161">
        <v>673</v>
      </c>
      <c r="G307" s="3" t="s">
        <v>2236</v>
      </c>
      <c r="H307" s="5">
        <v>4070000.0000000005</v>
      </c>
      <c r="I307" s="162">
        <f t="shared" si="11"/>
        <v>4070000</v>
      </c>
    </row>
    <row r="308" spans="1:9">
      <c r="A308" s="161">
        <v>304</v>
      </c>
      <c r="B308" s="3" t="s">
        <v>1869</v>
      </c>
      <c r="C308" s="5">
        <v>279056.80000000005</v>
      </c>
      <c r="D308" s="162">
        <f t="shared" si="10"/>
        <v>280000</v>
      </c>
      <c r="F308" s="161">
        <v>674</v>
      </c>
      <c r="G308" s="3" t="s">
        <v>2237</v>
      </c>
      <c r="H308" s="5">
        <v>2750000</v>
      </c>
      <c r="I308" s="162">
        <f t="shared" si="11"/>
        <v>2750000</v>
      </c>
    </row>
    <row r="309" spans="1:9">
      <c r="A309" s="161">
        <v>305</v>
      </c>
      <c r="B309" s="3" t="s">
        <v>1870</v>
      </c>
      <c r="C309" s="5">
        <v>1100000</v>
      </c>
      <c r="D309" s="162">
        <f t="shared" si="10"/>
        <v>1100000</v>
      </c>
      <c r="F309" s="161">
        <v>675</v>
      </c>
      <c r="G309" s="3" t="s">
        <v>2238</v>
      </c>
      <c r="H309" s="5">
        <v>4400000</v>
      </c>
      <c r="I309" s="162">
        <f t="shared" si="11"/>
        <v>4400000</v>
      </c>
    </row>
    <row r="310" spans="1:9">
      <c r="A310" s="161">
        <v>306</v>
      </c>
      <c r="B310" s="3" t="s">
        <v>1871</v>
      </c>
      <c r="C310" s="5">
        <v>176962.5</v>
      </c>
      <c r="D310" s="162">
        <f t="shared" si="10"/>
        <v>177000</v>
      </c>
      <c r="F310" s="161">
        <v>676</v>
      </c>
      <c r="G310" s="3" t="s">
        <v>2239</v>
      </c>
      <c r="H310" s="5">
        <v>508200.00000000006</v>
      </c>
      <c r="I310" s="162">
        <f t="shared" si="11"/>
        <v>509000</v>
      </c>
    </row>
    <row r="311" spans="1:9">
      <c r="A311" s="161">
        <v>307</v>
      </c>
      <c r="B311" s="3" t="s">
        <v>1872</v>
      </c>
      <c r="C311" s="5">
        <v>701250</v>
      </c>
      <c r="D311" s="162">
        <f t="shared" si="10"/>
        <v>702000</v>
      </c>
      <c r="F311" s="161">
        <v>677</v>
      </c>
      <c r="G311" s="3" t="s">
        <v>2240</v>
      </c>
      <c r="H311" s="5">
        <v>1320000</v>
      </c>
      <c r="I311" s="162">
        <f t="shared" si="11"/>
        <v>1320000</v>
      </c>
    </row>
    <row r="312" spans="1:9">
      <c r="A312" s="161">
        <v>308</v>
      </c>
      <c r="B312" s="3" t="s">
        <v>1873</v>
      </c>
      <c r="C312" s="5">
        <v>278304.40000000002</v>
      </c>
      <c r="D312" s="162">
        <f t="shared" si="10"/>
        <v>279000</v>
      </c>
      <c r="F312" s="161">
        <v>678</v>
      </c>
      <c r="G312" s="3" t="s">
        <v>2241</v>
      </c>
      <c r="H312" s="5">
        <v>256300.00000000003</v>
      </c>
      <c r="I312" s="162">
        <f t="shared" si="11"/>
        <v>257000</v>
      </c>
    </row>
    <row r="313" spans="1:9">
      <c r="A313" s="161">
        <v>309</v>
      </c>
      <c r="B313" s="3" t="s">
        <v>1874</v>
      </c>
      <c r="C313" s="5">
        <v>279056.80000000005</v>
      </c>
      <c r="D313" s="162">
        <f t="shared" si="10"/>
        <v>280000</v>
      </c>
      <c r="F313" s="161">
        <v>679</v>
      </c>
      <c r="G313" s="3" t="s">
        <v>2242</v>
      </c>
      <c r="H313" s="5">
        <v>3850000.0000000005</v>
      </c>
      <c r="I313" s="162">
        <f t="shared" si="11"/>
        <v>3850000</v>
      </c>
    </row>
    <row r="314" spans="1:9">
      <c r="A314" s="161">
        <v>310</v>
      </c>
      <c r="B314" s="3" t="s">
        <v>1875</v>
      </c>
      <c r="C314" s="5">
        <v>698775</v>
      </c>
      <c r="D314" s="162">
        <f t="shared" si="10"/>
        <v>699000</v>
      </c>
      <c r="F314" s="161">
        <v>680</v>
      </c>
      <c r="G314" s="3" t="s">
        <v>2243</v>
      </c>
      <c r="H314" s="5">
        <v>645480</v>
      </c>
      <c r="I314" s="162">
        <f t="shared" si="11"/>
        <v>646000</v>
      </c>
    </row>
    <row r="315" spans="1:9">
      <c r="A315" s="161">
        <v>311</v>
      </c>
      <c r="B315" s="3" t="s">
        <v>1876</v>
      </c>
      <c r="C315" s="5">
        <v>89994.3</v>
      </c>
      <c r="D315" s="162">
        <f t="shared" si="10"/>
        <v>90000</v>
      </c>
      <c r="F315" s="161">
        <v>681</v>
      </c>
      <c r="G315" s="3" t="s">
        <v>2244</v>
      </c>
      <c r="H315" s="5">
        <v>1375000</v>
      </c>
      <c r="I315" s="162">
        <f t="shared" si="11"/>
        <v>1375000</v>
      </c>
    </row>
    <row r="316" spans="1:9">
      <c r="A316" s="161">
        <v>312</v>
      </c>
      <c r="B316" s="3" t="s">
        <v>1877</v>
      </c>
      <c r="C316" s="5">
        <v>191331.80000000002</v>
      </c>
      <c r="D316" s="162">
        <f t="shared" si="10"/>
        <v>192000</v>
      </c>
      <c r="F316" s="161">
        <v>682</v>
      </c>
      <c r="G316" s="3" t="s">
        <v>2245</v>
      </c>
      <c r="H316" s="5">
        <v>165000</v>
      </c>
      <c r="I316" s="162">
        <f t="shared" si="11"/>
        <v>165000</v>
      </c>
    </row>
    <row r="317" spans="1:9">
      <c r="A317" s="161">
        <v>313</v>
      </c>
      <c r="B317" s="3" t="s">
        <v>1878</v>
      </c>
      <c r="C317" s="5">
        <v>232169.30000000002</v>
      </c>
      <c r="D317" s="162">
        <f t="shared" si="10"/>
        <v>233000</v>
      </c>
      <c r="F317" s="161">
        <v>683</v>
      </c>
      <c r="G317" s="3" t="s">
        <v>2246</v>
      </c>
      <c r="H317" s="5">
        <v>99000.000000000015</v>
      </c>
      <c r="I317" s="162">
        <f t="shared" si="11"/>
        <v>99000</v>
      </c>
    </row>
    <row r="318" spans="1:9">
      <c r="A318" s="161">
        <v>314</v>
      </c>
      <c r="B318" s="3" t="s">
        <v>1879</v>
      </c>
      <c r="C318" s="5">
        <v>232169.30000000002</v>
      </c>
      <c r="D318" s="162">
        <f t="shared" si="10"/>
        <v>233000</v>
      </c>
      <c r="F318" s="161">
        <v>684</v>
      </c>
      <c r="G318" s="3" t="s">
        <v>2247</v>
      </c>
      <c r="H318" s="5">
        <v>495000.00000000006</v>
      </c>
      <c r="I318" s="162">
        <f t="shared" si="11"/>
        <v>495000</v>
      </c>
    </row>
    <row r="319" spans="1:9">
      <c r="A319" s="161">
        <v>315</v>
      </c>
      <c r="B319" s="3" t="s">
        <v>1880</v>
      </c>
      <c r="C319" s="5">
        <v>1268231.8</v>
      </c>
      <c r="D319" s="162">
        <f t="shared" si="10"/>
        <v>1269000</v>
      </c>
      <c r="F319" s="161">
        <v>685</v>
      </c>
      <c r="G319" s="3" t="s">
        <v>2248</v>
      </c>
      <c r="H319" s="5">
        <v>907500.00000000012</v>
      </c>
      <c r="I319" s="162">
        <f t="shared" si="11"/>
        <v>908000</v>
      </c>
    </row>
    <row r="320" spans="1:9">
      <c r="A320" s="161">
        <v>316</v>
      </c>
      <c r="B320" s="3" t="s">
        <v>1881</v>
      </c>
      <c r="C320" s="5">
        <v>691969.3</v>
      </c>
      <c r="D320" s="162">
        <f t="shared" si="10"/>
        <v>692000</v>
      </c>
      <c r="F320" s="161">
        <v>686</v>
      </c>
      <c r="G320" s="3" t="s">
        <v>2249</v>
      </c>
      <c r="H320" s="5">
        <v>215160.00000000003</v>
      </c>
      <c r="I320" s="162">
        <f t="shared" si="11"/>
        <v>216000</v>
      </c>
    </row>
    <row r="321" spans="1:9">
      <c r="A321" s="161">
        <v>317</v>
      </c>
      <c r="B321" s="3" t="s">
        <v>1882</v>
      </c>
      <c r="C321" s="5">
        <v>37812.5</v>
      </c>
      <c r="D321" s="162">
        <f t="shared" si="10"/>
        <v>38000</v>
      </c>
      <c r="F321" s="161">
        <v>687</v>
      </c>
      <c r="G321" s="3" t="s">
        <v>2250</v>
      </c>
      <c r="H321" s="5">
        <v>4400000</v>
      </c>
      <c r="I321" s="162">
        <f t="shared" si="11"/>
        <v>4400000</v>
      </c>
    </row>
    <row r="322" spans="1:9">
      <c r="A322" s="161">
        <v>318</v>
      </c>
      <c r="B322" s="3" t="s">
        <v>1883</v>
      </c>
      <c r="C322" s="5">
        <v>101640.00000000001</v>
      </c>
      <c r="D322" s="162">
        <f t="shared" si="10"/>
        <v>102000</v>
      </c>
      <c r="F322" s="161">
        <v>688</v>
      </c>
      <c r="G322" s="3" t="s">
        <v>2251</v>
      </c>
      <c r="H322" s="5">
        <v>323400</v>
      </c>
      <c r="I322" s="162">
        <f t="shared" si="11"/>
        <v>324000</v>
      </c>
    </row>
    <row r="323" spans="1:9">
      <c r="A323" s="161">
        <v>319</v>
      </c>
      <c r="B323" s="3" t="s">
        <v>1884</v>
      </c>
      <c r="C323" s="5">
        <v>101337.50000000001</v>
      </c>
      <c r="D323" s="162">
        <f t="shared" si="10"/>
        <v>102000</v>
      </c>
      <c r="F323" s="161">
        <v>689</v>
      </c>
      <c r="G323" s="3" t="s">
        <v>2252</v>
      </c>
      <c r="H323" s="5">
        <v>215600.00000000003</v>
      </c>
      <c r="I323" s="162">
        <f t="shared" si="11"/>
        <v>216000</v>
      </c>
    </row>
    <row r="324" spans="1:9">
      <c r="A324" s="161">
        <v>320</v>
      </c>
      <c r="B324" s="3" t="s">
        <v>1885</v>
      </c>
      <c r="C324" s="5">
        <v>2444200</v>
      </c>
      <c r="D324" s="162">
        <f t="shared" si="10"/>
        <v>2445000</v>
      </c>
      <c r="F324" s="161">
        <v>690</v>
      </c>
      <c r="G324" s="3" t="s">
        <v>2253</v>
      </c>
      <c r="H324" s="5">
        <v>431640.00000000006</v>
      </c>
      <c r="I324" s="162">
        <f t="shared" si="11"/>
        <v>432000</v>
      </c>
    </row>
    <row r="325" spans="1:9">
      <c r="A325" s="161">
        <v>321</v>
      </c>
      <c r="B325" s="3" t="s">
        <v>1886</v>
      </c>
      <c r="C325" s="5">
        <v>83494.400000000009</v>
      </c>
      <c r="D325" s="162">
        <f t="shared" si="10"/>
        <v>84000</v>
      </c>
      <c r="F325" s="161">
        <v>691</v>
      </c>
      <c r="G325" s="3" t="s">
        <v>2254</v>
      </c>
      <c r="H325" s="5">
        <v>323400</v>
      </c>
      <c r="I325" s="162">
        <f t="shared" si="11"/>
        <v>324000</v>
      </c>
    </row>
    <row r="326" spans="1:9">
      <c r="A326" s="161">
        <v>322</v>
      </c>
      <c r="B326" s="3" t="s">
        <v>1887</v>
      </c>
      <c r="C326" s="5">
        <v>83187.5</v>
      </c>
      <c r="D326" s="162">
        <f t="shared" ref="D326:D358" si="12">ROUNDUP(C326,-3)</f>
        <v>84000</v>
      </c>
      <c r="F326" s="161">
        <v>692</v>
      </c>
      <c r="G326" s="3" t="s">
        <v>2255</v>
      </c>
      <c r="H326" s="5">
        <v>1615680.0000000002</v>
      </c>
      <c r="I326" s="162">
        <f t="shared" si="11"/>
        <v>1616000</v>
      </c>
    </row>
    <row r="327" spans="1:9">
      <c r="A327" s="161">
        <v>323</v>
      </c>
      <c r="B327" s="3" t="s">
        <v>1888</v>
      </c>
      <c r="C327" s="5">
        <v>149737.5</v>
      </c>
      <c r="D327" s="162">
        <f t="shared" si="12"/>
        <v>150000</v>
      </c>
      <c r="F327" s="161">
        <v>693</v>
      </c>
      <c r="G327" s="3" t="s">
        <v>2256</v>
      </c>
      <c r="H327" s="5">
        <v>150480</v>
      </c>
      <c r="I327" s="162">
        <f t="shared" si="11"/>
        <v>151000</v>
      </c>
    </row>
    <row r="328" spans="1:9">
      <c r="A328" s="161">
        <v>324</v>
      </c>
      <c r="B328" s="3" t="s">
        <v>1889</v>
      </c>
      <c r="C328" s="5">
        <v>279812.5</v>
      </c>
      <c r="D328" s="162">
        <f t="shared" si="12"/>
        <v>280000</v>
      </c>
      <c r="F328" s="161">
        <v>694</v>
      </c>
      <c r="G328" s="3" t="s">
        <v>2257</v>
      </c>
      <c r="H328" s="5">
        <v>215160.00000000003</v>
      </c>
      <c r="I328" s="162">
        <f t="shared" si="11"/>
        <v>216000</v>
      </c>
    </row>
    <row r="329" spans="1:9">
      <c r="A329" s="161">
        <v>325</v>
      </c>
      <c r="B329" s="3" t="s">
        <v>1890</v>
      </c>
      <c r="C329" s="5">
        <v>110000.00000000001</v>
      </c>
      <c r="D329" s="162">
        <f t="shared" si="12"/>
        <v>110000</v>
      </c>
      <c r="F329" s="161">
        <v>695</v>
      </c>
      <c r="G329" s="3" t="s">
        <v>2258</v>
      </c>
      <c r="H329" s="5">
        <v>137500</v>
      </c>
      <c r="I329" s="162">
        <f t="shared" si="11"/>
        <v>138000</v>
      </c>
    </row>
    <row r="330" spans="1:9">
      <c r="A330" s="161">
        <v>326</v>
      </c>
      <c r="B330" s="3" t="s">
        <v>1891</v>
      </c>
      <c r="C330" s="5">
        <v>127050.00000000001</v>
      </c>
      <c r="D330" s="162">
        <f t="shared" si="12"/>
        <v>128000</v>
      </c>
      <c r="F330" s="161">
        <v>696</v>
      </c>
      <c r="G330" s="3" t="s">
        <v>2259</v>
      </c>
      <c r="H330" s="5">
        <v>431640.00000000006</v>
      </c>
      <c r="I330" s="162">
        <f t="shared" si="11"/>
        <v>432000</v>
      </c>
    </row>
    <row r="331" spans="1:9">
      <c r="A331" s="161">
        <v>327</v>
      </c>
      <c r="B331" s="3" t="s">
        <v>1892</v>
      </c>
      <c r="C331" s="5">
        <v>127050.00000000001</v>
      </c>
      <c r="D331" s="162">
        <f t="shared" si="12"/>
        <v>128000</v>
      </c>
      <c r="F331" s="161">
        <v>697</v>
      </c>
      <c r="G331" s="3" t="s">
        <v>2260</v>
      </c>
      <c r="H331" s="5">
        <v>323400</v>
      </c>
      <c r="I331" s="162">
        <f t="shared" si="11"/>
        <v>324000</v>
      </c>
    </row>
    <row r="332" spans="1:9" ht="15.75">
      <c r="A332" s="161">
        <v>328</v>
      </c>
      <c r="B332" s="3" t="s">
        <v>1893</v>
      </c>
      <c r="C332" s="5">
        <v>127050.00000000001</v>
      </c>
      <c r="D332" s="162">
        <f t="shared" si="12"/>
        <v>128000</v>
      </c>
      <c r="E332" s="24"/>
      <c r="F332" s="161">
        <v>698</v>
      </c>
      <c r="G332" s="3" t="s">
        <v>2261</v>
      </c>
      <c r="H332" s="5">
        <v>907500.00000000012</v>
      </c>
      <c r="I332" s="162">
        <f t="shared" si="11"/>
        <v>908000</v>
      </c>
    </row>
    <row r="333" spans="1:9">
      <c r="A333" s="161">
        <v>329</v>
      </c>
      <c r="B333" s="3" t="s">
        <v>1894</v>
      </c>
      <c r="C333" s="5">
        <v>127050.00000000001</v>
      </c>
      <c r="D333" s="162">
        <f t="shared" si="12"/>
        <v>128000</v>
      </c>
      <c r="F333" s="161">
        <v>699</v>
      </c>
      <c r="G333" s="3" t="s">
        <v>2262</v>
      </c>
      <c r="H333" s="5">
        <v>385000.00000000006</v>
      </c>
      <c r="I333" s="162">
        <f t="shared" si="11"/>
        <v>385000</v>
      </c>
    </row>
    <row r="334" spans="1:9">
      <c r="A334" s="161">
        <v>330</v>
      </c>
      <c r="B334" s="3" t="s">
        <v>1895</v>
      </c>
      <c r="C334" s="5">
        <v>7378731.8000000007</v>
      </c>
      <c r="D334" s="162">
        <f t="shared" si="12"/>
        <v>7379000</v>
      </c>
      <c r="F334" s="161">
        <v>700</v>
      </c>
      <c r="G334" s="3" t="s">
        <v>2263</v>
      </c>
      <c r="H334" s="5">
        <v>770000.00000000012</v>
      </c>
      <c r="I334" s="162">
        <f t="shared" si="11"/>
        <v>770000</v>
      </c>
    </row>
    <row r="335" spans="1:9">
      <c r="A335" s="161">
        <v>331</v>
      </c>
      <c r="B335" s="3" t="s">
        <v>1896</v>
      </c>
      <c r="C335" s="5">
        <v>127050.00000000001</v>
      </c>
      <c r="D335" s="162">
        <f t="shared" si="12"/>
        <v>128000</v>
      </c>
      <c r="F335" s="161">
        <v>701</v>
      </c>
      <c r="G335" s="3" t="s">
        <v>2264</v>
      </c>
      <c r="H335" s="5">
        <v>330000</v>
      </c>
      <c r="I335" s="162">
        <f t="shared" si="11"/>
        <v>330000</v>
      </c>
    </row>
    <row r="336" spans="1:9">
      <c r="A336" s="161">
        <v>332</v>
      </c>
      <c r="B336" s="3" t="s">
        <v>1897</v>
      </c>
      <c r="C336" s="5">
        <v>127050.00000000001</v>
      </c>
      <c r="D336" s="162">
        <f t="shared" si="12"/>
        <v>128000</v>
      </c>
      <c r="F336" s="161">
        <v>702</v>
      </c>
      <c r="G336" s="3" t="s">
        <v>2265</v>
      </c>
      <c r="H336" s="5">
        <v>330000</v>
      </c>
      <c r="I336" s="162">
        <f t="shared" si="11"/>
        <v>330000</v>
      </c>
    </row>
    <row r="337" spans="1:9">
      <c r="A337" s="161">
        <v>333</v>
      </c>
      <c r="B337" s="3" t="s">
        <v>1898</v>
      </c>
      <c r="C337" s="5">
        <v>127050.00000000001</v>
      </c>
      <c r="D337" s="162">
        <f t="shared" si="12"/>
        <v>128000</v>
      </c>
      <c r="F337" s="161">
        <v>703</v>
      </c>
      <c r="G337" s="3" t="s">
        <v>2266</v>
      </c>
      <c r="H337" s="5">
        <v>330000</v>
      </c>
      <c r="I337" s="162">
        <f t="shared" si="11"/>
        <v>330000</v>
      </c>
    </row>
    <row r="338" spans="1:9">
      <c r="A338" s="161">
        <v>334</v>
      </c>
      <c r="B338" s="3" t="s">
        <v>1899</v>
      </c>
      <c r="C338" s="5">
        <v>127050.00000000001</v>
      </c>
      <c r="D338" s="162">
        <f t="shared" si="12"/>
        <v>128000</v>
      </c>
      <c r="F338" s="161">
        <v>704</v>
      </c>
      <c r="G338" s="3" t="s">
        <v>2267</v>
      </c>
      <c r="H338" s="5">
        <v>660000</v>
      </c>
      <c r="I338" s="162">
        <f t="shared" si="11"/>
        <v>660000</v>
      </c>
    </row>
    <row r="339" spans="1:9">
      <c r="A339" s="161">
        <v>335</v>
      </c>
      <c r="B339" s="3" t="s">
        <v>1900</v>
      </c>
      <c r="C339" s="5">
        <v>228387.50000000003</v>
      </c>
      <c r="D339" s="162">
        <f t="shared" si="12"/>
        <v>229000</v>
      </c>
      <c r="F339" s="161">
        <v>705</v>
      </c>
      <c r="G339" s="3" t="s">
        <v>2268</v>
      </c>
      <c r="H339" s="5">
        <v>660000</v>
      </c>
      <c r="I339" s="162">
        <f t="shared" si="11"/>
        <v>660000</v>
      </c>
    </row>
    <row r="340" spans="1:9">
      <c r="A340" s="161">
        <v>336</v>
      </c>
      <c r="B340" s="3" t="s">
        <v>1901</v>
      </c>
      <c r="C340" s="5">
        <v>2541000</v>
      </c>
      <c r="D340" s="162">
        <f t="shared" si="12"/>
        <v>2541000</v>
      </c>
      <c r="F340" s="161">
        <v>706</v>
      </c>
      <c r="G340" s="3" t="s">
        <v>2269</v>
      </c>
      <c r="H340" s="5">
        <v>770000.00000000012</v>
      </c>
      <c r="I340" s="162">
        <f t="shared" si="11"/>
        <v>770000</v>
      </c>
    </row>
    <row r="341" spans="1:9">
      <c r="A341" s="161">
        <v>337</v>
      </c>
      <c r="B341" s="3" t="s">
        <v>1902</v>
      </c>
      <c r="C341" s="5">
        <v>39325</v>
      </c>
      <c r="D341" s="162">
        <f t="shared" si="12"/>
        <v>40000</v>
      </c>
      <c r="F341" s="161">
        <v>707</v>
      </c>
      <c r="G341" s="3" t="s">
        <v>2270</v>
      </c>
      <c r="H341" s="5">
        <v>880000.00000000012</v>
      </c>
      <c r="I341" s="162">
        <f t="shared" si="11"/>
        <v>880000</v>
      </c>
    </row>
    <row r="342" spans="1:9">
      <c r="A342" s="161">
        <v>338</v>
      </c>
      <c r="B342" s="3" t="s">
        <v>1903</v>
      </c>
      <c r="C342" s="5">
        <v>698775</v>
      </c>
      <c r="D342" s="162">
        <f t="shared" si="12"/>
        <v>699000</v>
      </c>
      <c r="F342" s="161">
        <v>708</v>
      </c>
      <c r="G342" s="3" t="s">
        <v>2271</v>
      </c>
      <c r="H342" s="5">
        <v>852500.00000000012</v>
      </c>
      <c r="I342" s="162">
        <f t="shared" si="11"/>
        <v>853000</v>
      </c>
    </row>
    <row r="343" spans="1:9" ht="30">
      <c r="A343" s="161">
        <v>339</v>
      </c>
      <c r="B343" s="3" t="s">
        <v>1904</v>
      </c>
      <c r="C343" s="5">
        <v>1153281.8</v>
      </c>
      <c r="D343" s="162">
        <f t="shared" si="12"/>
        <v>1154000</v>
      </c>
      <c r="F343" s="161">
        <v>709</v>
      </c>
      <c r="G343" s="3" t="s">
        <v>2272</v>
      </c>
      <c r="H343" s="5">
        <v>653400</v>
      </c>
      <c r="I343" s="162">
        <f t="shared" si="11"/>
        <v>654000</v>
      </c>
    </row>
    <row r="344" spans="1:9" ht="30">
      <c r="A344" s="161">
        <v>340</v>
      </c>
      <c r="B344" s="3" t="s">
        <v>1905</v>
      </c>
      <c r="C344" s="5">
        <v>69575</v>
      </c>
      <c r="D344" s="162">
        <f t="shared" si="12"/>
        <v>70000</v>
      </c>
      <c r="F344" s="161">
        <v>710</v>
      </c>
      <c r="G344" s="3" t="s">
        <v>2273</v>
      </c>
      <c r="H344" s="5">
        <v>323400</v>
      </c>
      <c r="I344" s="162">
        <f t="shared" si="11"/>
        <v>324000</v>
      </c>
    </row>
    <row r="345" spans="1:9" ht="30">
      <c r="A345" s="161">
        <v>341</v>
      </c>
      <c r="B345" s="3" t="s">
        <v>1906</v>
      </c>
      <c r="C345" s="5">
        <v>1100000</v>
      </c>
      <c r="D345" s="162">
        <f t="shared" si="12"/>
        <v>1100000</v>
      </c>
      <c r="F345" s="161">
        <v>711</v>
      </c>
      <c r="G345" s="3" t="s">
        <v>2274</v>
      </c>
      <c r="H345" s="5">
        <v>431200.00000000006</v>
      </c>
      <c r="I345" s="162">
        <f t="shared" si="11"/>
        <v>432000</v>
      </c>
    </row>
    <row r="346" spans="1:9" ht="30">
      <c r="A346" s="161">
        <v>342</v>
      </c>
      <c r="B346" s="3" t="s">
        <v>1907</v>
      </c>
      <c r="C346" s="5">
        <v>2200000</v>
      </c>
      <c r="D346" s="162">
        <f t="shared" si="12"/>
        <v>2200000</v>
      </c>
      <c r="F346" s="161">
        <v>712</v>
      </c>
      <c r="G346" s="3" t="s">
        <v>2275</v>
      </c>
      <c r="H346" s="5">
        <v>552200</v>
      </c>
      <c r="I346" s="162">
        <f t="shared" si="11"/>
        <v>553000</v>
      </c>
    </row>
    <row r="347" spans="1:9" ht="30">
      <c r="A347" s="161">
        <v>343</v>
      </c>
      <c r="B347" s="3" t="s">
        <v>1908</v>
      </c>
      <c r="C347" s="5">
        <v>165000</v>
      </c>
      <c r="D347" s="162">
        <f t="shared" si="12"/>
        <v>165000</v>
      </c>
      <c r="F347" s="161">
        <v>713</v>
      </c>
      <c r="G347" s="3" t="s">
        <v>2276</v>
      </c>
      <c r="H347" s="5">
        <v>215600.00000000003</v>
      </c>
      <c r="I347" s="162">
        <f t="shared" ref="I347:I375" si="13">ROUNDUP(H347,-3)</f>
        <v>216000</v>
      </c>
    </row>
    <row r="348" spans="1:9" ht="30">
      <c r="A348" s="161">
        <v>344</v>
      </c>
      <c r="B348" s="3" t="s">
        <v>1909</v>
      </c>
      <c r="C348" s="5">
        <v>39325</v>
      </c>
      <c r="D348" s="162">
        <f t="shared" si="12"/>
        <v>40000</v>
      </c>
      <c r="F348" s="161">
        <v>714</v>
      </c>
      <c r="G348" s="3" t="s">
        <v>2277</v>
      </c>
      <c r="H348" s="5">
        <v>323400</v>
      </c>
      <c r="I348" s="162">
        <f t="shared" si="13"/>
        <v>324000</v>
      </c>
    </row>
    <row r="349" spans="1:9">
      <c r="A349" s="161">
        <v>345</v>
      </c>
      <c r="B349" s="3" t="s">
        <v>1910</v>
      </c>
      <c r="C349" s="5">
        <v>76381.8</v>
      </c>
      <c r="D349" s="162">
        <f t="shared" si="12"/>
        <v>77000</v>
      </c>
      <c r="F349" s="161">
        <v>715</v>
      </c>
      <c r="G349" s="3" t="s">
        <v>2278</v>
      </c>
      <c r="H349" s="5">
        <v>275000</v>
      </c>
      <c r="I349" s="162">
        <f t="shared" si="13"/>
        <v>275000</v>
      </c>
    </row>
    <row r="350" spans="1:9">
      <c r="A350" s="161">
        <v>346</v>
      </c>
      <c r="B350" s="3" t="s">
        <v>1911</v>
      </c>
      <c r="C350" s="5">
        <v>1268231.8</v>
      </c>
      <c r="D350" s="162">
        <f t="shared" si="12"/>
        <v>1269000</v>
      </c>
      <c r="F350" s="161">
        <v>716</v>
      </c>
      <c r="G350" s="3" t="s">
        <v>2279</v>
      </c>
      <c r="H350" s="5">
        <v>245300.00000000003</v>
      </c>
      <c r="I350" s="162">
        <f t="shared" si="13"/>
        <v>246000</v>
      </c>
    </row>
    <row r="351" spans="1:9">
      <c r="A351" s="161">
        <v>347</v>
      </c>
      <c r="B351" s="3" t="s">
        <v>1912</v>
      </c>
      <c r="C351" s="5">
        <v>2283119.3000000003</v>
      </c>
      <c r="D351" s="162">
        <f t="shared" si="12"/>
        <v>2284000</v>
      </c>
      <c r="F351" s="161">
        <v>717</v>
      </c>
      <c r="G351" s="3" t="s">
        <v>2280</v>
      </c>
      <c r="H351" s="5">
        <v>217800.00000000003</v>
      </c>
      <c r="I351" s="162">
        <f t="shared" si="13"/>
        <v>218000</v>
      </c>
    </row>
    <row r="352" spans="1:9">
      <c r="A352" s="161">
        <v>348</v>
      </c>
      <c r="B352" s="3" t="s">
        <v>1913</v>
      </c>
      <c r="C352" s="5">
        <v>421487.00000000006</v>
      </c>
      <c r="D352" s="162">
        <f t="shared" si="12"/>
        <v>422000</v>
      </c>
      <c r="F352" s="161">
        <v>718</v>
      </c>
      <c r="G352" s="3" t="s">
        <v>2281</v>
      </c>
      <c r="H352" s="5">
        <v>385000.00000000006</v>
      </c>
      <c r="I352" s="162">
        <f t="shared" si="13"/>
        <v>385000</v>
      </c>
    </row>
    <row r="353" spans="1:9">
      <c r="A353" s="161">
        <v>349</v>
      </c>
      <c r="B353" s="3" t="s">
        <v>1914</v>
      </c>
      <c r="C353" s="5">
        <v>381150.00000000006</v>
      </c>
      <c r="D353" s="162">
        <f t="shared" si="12"/>
        <v>382000</v>
      </c>
      <c r="F353" s="161">
        <v>719</v>
      </c>
      <c r="G353" s="3" t="s">
        <v>2282</v>
      </c>
      <c r="H353" s="5">
        <v>330000</v>
      </c>
      <c r="I353" s="162">
        <f t="shared" si="13"/>
        <v>330000</v>
      </c>
    </row>
    <row r="354" spans="1:9" ht="30">
      <c r="A354" s="161">
        <v>350</v>
      </c>
      <c r="B354" s="3" t="s">
        <v>1915</v>
      </c>
      <c r="C354" s="5">
        <v>69575</v>
      </c>
      <c r="D354" s="162">
        <f t="shared" si="12"/>
        <v>70000</v>
      </c>
      <c r="F354" s="161">
        <v>720</v>
      </c>
      <c r="G354" s="3" t="s">
        <v>2283</v>
      </c>
      <c r="H354" s="5">
        <v>1045000.0000000001</v>
      </c>
      <c r="I354" s="162">
        <f t="shared" si="13"/>
        <v>1045000</v>
      </c>
    </row>
    <row r="355" spans="1:9">
      <c r="A355" s="161">
        <v>351</v>
      </c>
      <c r="B355" s="3" t="s">
        <v>1916</v>
      </c>
      <c r="C355" s="5">
        <v>3667812.5000000005</v>
      </c>
      <c r="D355" s="162">
        <f t="shared" si="12"/>
        <v>3668000</v>
      </c>
      <c r="F355" s="161">
        <v>721</v>
      </c>
      <c r="G355" s="3" t="s">
        <v>2284</v>
      </c>
      <c r="H355" s="5">
        <v>1291675</v>
      </c>
      <c r="I355" s="162">
        <f t="shared" si="13"/>
        <v>1292000</v>
      </c>
    </row>
    <row r="356" spans="1:9">
      <c r="A356" s="161">
        <v>352</v>
      </c>
      <c r="B356" s="3" t="s">
        <v>1917</v>
      </c>
      <c r="C356" s="5">
        <v>1153281.8</v>
      </c>
      <c r="D356" s="162">
        <f t="shared" si="12"/>
        <v>1154000</v>
      </c>
      <c r="F356" s="161">
        <v>722</v>
      </c>
      <c r="G356" s="3" t="s">
        <v>2285</v>
      </c>
      <c r="H356" s="5">
        <v>1936756.8</v>
      </c>
      <c r="I356" s="162">
        <f t="shared" si="13"/>
        <v>1937000</v>
      </c>
    </row>
    <row r="357" spans="1:9">
      <c r="A357" s="161">
        <v>353</v>
      </c>
      <c r="B357" s="3" t="s">
        <v>1918</v>
      </c>
      <c r="C357" s="5">
        <v>1649381.8</v>
      </c>
      <c r="D357" s="162">
        <f t="shared" si="12"/>
        <v>1650000</v>
      </c>
      <c r="F357" s="161">
        <v>723</v>
      </c>
      <c r="G357" s="3" t="s">
        <v>2286</v>
      </c>
      <c r="H357" s="5">
        <v>322919.30000000005</v>
      </c>
      <c r="I357" s="162">
        <f t="shared" si="13"/>
        <v>323000</v>
      </c>
    </row>
    <row r="358" spans="1:9" ht="30">
      <c r="A358" s="161">
        <v>354</v>
      </c>
      <c r="B358" s="3" t="s">
        <v>8</v>
      </c>
      <c r="C358" s="5">
        <v>304920</v>
      </c>
      <c r="D358" s="162">
        <f t="shared" si="12"/>
        <v>305000</v>
      </c>
      <c r="F358" s="161">
        <v>724</v>
      </c>
      <c r="G358" s="3" t="s">
        <v>2287</v>
      </c>
      <c r="H358" s="5">
        <v>1936756.8</v>
      </c>
      <c r="I358" s="162">
        <f t="shared" si="13"/>
        <v>1937000</v>
      </c>
    </row>
    <row r="359" spans="1:9">
      <c r="A359" s="161">
        <v>355</v>
      </c>
      <c r="B359" s="3" t="s">
        <v>1919</v>
      </c>
      <c r="C359" s="5">
        <v>124630.00000000001</v>
      </c>
      <c r="D359" s="162">
        <f t="shared" ref="D359:D374" si="14">ROUNDUP(C359,-3)</f>
        <v>125000</v>
      </c>
      <c r="F359" s="161">
        <v>725</v>
      </c>
      <c r="G359" s="3" t="s">
        <v>2288</v>
      </c>
      <c r="H359" s="5">
        <v>2421512.5</v>
      </c>
      <c r="I359" s="162">
        <f t="shared" si="13"/>
        <v>2422000</v>
      </c>
    </row>
    <row r="360" spans="1:9">
      <c r="A360" s="161">
        <v>356</v>
      </c>
      <c r="B360" s="3" t="s">
        <v>1920</v>
      </c>
      <c r="C360" s="5">
        <v>124630.00000000001</v>
      </c>
      <c r="D360" s="162">
        <f t="shared" si="14"/>
        <v>125000</v>
      </c>
      <c r="F360" s="161">
        <v>726</v>
      </c>
      <c r="G360" s="3" t="s">
        <v>2289</v>
      </c>
      <c r="H360" s="5">
        <v>1936756.8</v>
      </c>
      <c r="I360" s="162">
        <f t="shared" si="13"/>
        <v>1937000</v>
      </c>
    </row>
    <row r="361" spans="1:9">
      <c r="A361" s="161">
        <v>357</v>
      </c>
      <c r="B361" s="3" t="s">
        <v>1921</v>
      </c>
      <c r="C361" s="5">
        <v>41595.4</v>
      </c>
      <c r="D361" s="162">
        <f t="shared" si="14"/>
        <v>42000</v>
      </c>
      <c r="F361" s="161">
        <v>727</v>
      </c>
      <c r="G361" s="3" t="s">
        <v>2290</v>
      </c>
      <c r="H361" s="5">
        <v>2098594.3000000003</v>
      </c>
      <c r="I361" s="162">
        <f t="shared" si="13"/>
        <v>2099000</v>
      </c>
    </row>
    <row r="362" spans="1:9">
      <c r="A362" s="161">
        <v>358</v>
      </c>
      <c r="B362" s="3" t="s">
        <v>1922</v>
      </c>
      <c r="C362" s="5">
        <v>41594.300000000003</v>
      </c>
      <c r="D362" s="162">
        <f t="shared" si="14"/>
        <v>42000</v>
      </c>
      <c r="F362" s="161">
        <v>728</v>
      </c>
      <c r="G362" s="3" t="s">
        <v>2291</v>
      </c>
      <c r="H362" s="5">
        <v>2421512.5</v>
      </c>
      <c r="I362" s="162">
        <f t="shared" si="13"/>
        <v>2422000</v>
      </c>
    </row>
    <row r="363" spans="1:9">
      <c r="A363" s="161">
        <v>359</v>
      </c>
      <c r="B363" s="3" t="s">
        <v>1923</v>
      </c>
      <c r="C363" s="5">
        <v>83490</v>
      </c>
      <c r="D363" s="162">
        <f t="shared" si="14"/>
        <v>84000</v>
      </c>
      <c r="F363" s="161">
        <v>729</v>
      </c>
      <c r="G363" s="3" t="s">
        <v>2292</v>
      </c>
      <c r="H363" s="5">
        <v>1936756.8</v>
      </c>
      <c r="I363" s="162">
        <f t="shared" si="13"/>
        <v>1937000</v>
      </c>
    </row>
    <row r="364" spans="1:9">
      <c r="A364" s="161">
        <v>360</v>
      </c>
      <c r="B364" s="3" t="s">
        <v>1924</v>
      </c>
      <c r="C364" s="5">
        <v>83490</v>
      </c>
      <c r="D364" s="162">
        <f t="shared" si="14"/>
        <v>84000</v>
      </c>
      <c r="F364" s="161">
        <v>730</v>
      </c>
      <c r="G364" s="3" t="s">
        <v>2293</v>
      </c>
      <c r="H364" s="5">
        <v>726000.00000000012</v>
      </c>
      <c r="I364" s="162">
        <f t="shared" si="13"/>
        <v>726000</v>
      </c>
    </row>
    <row r="365" spans="1:9">
      <c r="A365" s="161">
        <v>361</v>
      </c>
      <c r="B365" s="3" t="s">
        <v>1925</v>
      </c>
      <c r="C365" s="5">
        <v>121000.00000000001</v>
      </c>
      <c r="D365" s="162">
        <f t="shared" si="14"/>
        <v>121000</v>
      </c>
      <c r="F365" s="161">
        <v>731</v>
      </c>
      <c r="G365" s="3" t="s">
        <v>2294</v>
      </c>
      <c r="H365" s="5">
        <v>1291675</v>
      </c>
      <c r="I365" s="162">
        <f t="shared" si="13"/>
        <v>1292000</v>
      </c>
    </row>
    <row r="366" spans="1:9">
      <c r="A366" s="161">
        <v>362</v>
      </c>
      <c r="B366" s="3" t="s">
        <v>9</v>
      </c>
      <c r="C366" s="5">
        <v>157300</v>
      </c>
      <c r="D366" s="162">
        <f t="shared" si="14"/>
        <v>158000</v>
      </c>
      <c r="F366" s="161">
        <v>732</v>
      </c>
      <c r="G366" s="3" t="s">
        <v>2295</v>
      </c>
      <c r="H366" s="5">
        <v>484000.00000000006</v>
      </c>
      <c r="I366" s="162">
        <f t="shared" si="13"/>
        <v>484000</v>
      </c>
    </row>
    <row r="367" spans="1:9">
      <c r="A367" s="161">
        <v>363</v>
      </c>
      <c r="B367" s="3" t="s">
        <v>1926</v>
      </c>
      <c r="C367" s="5">
        <v>2200000</v>
      </c>
      <c r="D367" s="162">
        <f t="shared" si="14"/>
        <v>2200000</v>
      </c>
      <c r="F367" s="161">
        <v>733</v>
      </c>
      <c r="G367" s="3" t="s">
        <v>2296</v>
      </c>
      <c r="H367" s="5">
        <v>3712431.8000000003</v>
      </c>
      <c r="I367" s="162">
        <f t="shared" si="13"/>
        <v>3713000</v>
      </c>
    </row>
    <row r="368" spans="1:9">
      <c r="A368" s="161">
        <v>364</v>
      </c>
      <c r="B368" s="3" t="s">
        <v>10</v>
      </c>
      <c r="C368" s="5">
        <v>57172500.000000007</v>
      </c>
      <c r="D368" s="162">
        <f t="shared" si="14"/>
        <v>57173000</v>
      </c>
      <c r="F368" s="161">
        <v>734</v>
      </c>
      <c r="G368" s="3" t="s">
        <v>2297</v>
      </c>
      <c r="H368" s="5">
        <v>4036106.8000000003</v>
      </c>
      <c r="I368" s="162">
        <f t="shared" si="13"/>
        <v>4037000</v>
      </c>
    </row>
    <row r="369" spans="1:9">
      <c r="A369" s="161">
        <v>365</v>
      </c>
      <c r="B369" s="3" t="s">
        <v>1927</v>
      </c>
      <c r="C369" s="5">
        <v>1642575.0000000002</v>
      </c>
      <c r="D369" s="162">
        <f t="shared" si="14"/>
        <v>1643000</v>
      </c>
      <c r="F369" s="161">
        <v>735</v>
      </c>
      <c r="G369" s="3" t="s">
        <v>2298</v>
      </c>
      <c r="H369" s="5">
        <v>1291675</v>
      </c>
      <c r="I369" s="162">
        <f t="shared" si="13"/>
        <v>1292000</v>
      </c>
    </row>
    <row r="370" spans="1:9" ht="30">
      <c r="A370" s="161">
        <v>366</v>
      </c>
      <c r="B370" s="3" t="s">
        <v>11</v>
      </c>
      <c r="C370" s="5">
        <v>915062.50000000012</v>
      </c>
      <c r="D370" s="162">
        <f t="shared" si="14"/>
        <v>916000</v>
      </c>
      <c r="F370" s="161">
        <v>736</v>
      </c>
      <c r="G370" s="3" t="s">
        <v>2299</v>
      </c>
      <c r="H370" s="5">
        <v>1291675</v>
      </c>
      <c r="I370" s="162">
        <f t="shared" si="13"/>
        <v>1292000</v>
      </c>
    </row>
    <row r="371" spans="1:9">
      <c r="A371" s="161">
        <v>367</v>
      </c>
      <c r="B371" s="3" t="s">
        <v>12</v>
      </c>
      <c r="C371" s="5">
        <v>111925.00000000001</v>
      </c>
      <c r="D371" s="162">
        <f t="shared" si="14"/>
        <v>112000</v>
      </c>
      <c r="F371" s="161">
        <v>737</v>
      </c>
      <c r="G371" s="3" t="s">
        <v>2300</v>
      </c>
      <c r="H371" s="5">
        <v>726000.00000000012</v>
      </c>
      <c r="I371" s="162">
        <f t="shared" si="13"/>
        <v>726000</v>
      </c>
    </row>
    <row r="372" spans="1:9">
      <c r="A372" s="161">
        <v>368</v>
      </c>
      <c r="B372" s="3" t="s">
        <v>1931</v>
      </c>
      <c r="C372" s="5">
        <v>275000</v>
      </c>
      <c r="D372" s="162">
        <f t="shared" si="14"/>
        <v>275000</v>
      </c>
      <c r="F372" s="161">
        <v>738</v>
      </c>
      <c r="G372" s="3" t="s">
        <v>2301</v>
      </c>
      <c r="H372" s="5">
        <v>2421512.5</v>
      </c>
      <c r="I372" s="162">
        <f t="shared" si="13"/>
        <v>2422000</v>
      </c>
    </row>
    <row r="373" spans="1:9">
      <c r="A373" s="161">
        <v>369</v>
      </c>
      <c r="B373" s="3" t="s">
        <v>1932</v>
      </c>
      <c r="C373" s="5">
        <v>275000</v>
      </c>
      <c r="D373" s="162">
        <f t="shared" si="14"/>
        <v>275000</v>
      </c>
      <c r="F373" s="161">
        <v>739</v>
      </c>
      <c r="G373" s="3" t="s">
        <v>2302</v>
      </c>
      <c r="H373" s="3">
        <v>1210756.8</v>
      </c>
      <c r="I373" s="179">
        <f t="shared" si="13"/>
        <v>1211000</v>
      </c>
    </row>
    <row r="374" spans="1:9">
      <c r="A374" s="161">
        <v>370</v>
      </c>
      <c r="B374" s="3" t="s">
        <v>1933</v>
      </c>
      <c r="C374" s="5">
        <v>1725762.5000000002</v>
      </c>
      <c r="D374" s="162">
        <f t="shared" si="14"/>
        <v>1726000</v>
      </c>
      <c r="F374" s="161">
        <v>740</v>
      </c>
      <c r="G374" s="3" t="s">
        <v>2303</v>
      </c>
      <c r="H374" s="3">
        <v>1936756.8</v>
      </c>
      <c r="I374" s="179">
        <f t="shared" si="13"/>
        <v>1937000</v>
      </c>
    </row>
    <row r="375" spans="1:9">
      <c r="F375" s="161">
        <v>741</v>
      </c>
      <c r="G375" s="3" t="s">
        <v>2304</v>
      </c>
      <c r="H375" s="3">
        <v>330000</v>
      </c>
      <c r="I375" s="179">
        <f t="shared" si="13"/>
        <v>330000</v>
      </c>
    </row>
    <row r="378" spans="1:9">
      <c r="A378" s="67" t="s">
        <v>462</v>
      </c>
    </row>
    <row r="380" spans="1:9">
      <c r="A380" s="61" t="s">
        <v>463</v>
      </c>
    </row>
  </sheetData>
  <pageMargins left="0.23622047244094491" right="0.23622047244094491" top="0.35433070866141736" bottom="0.74803149606299213" header="0.11811023622047245" footer="0.31496062992125984"/>
  <pageSetup paperSize="9" scale="65" fitToWidth="0" fitToHeight="0" orientation="portrait" r:id="rId1"/>
  <headerFooter>
    <oddHeader>&amp;R&amp;"-,Bold"RAWAT JALAN</oddHeader>
    <oddFooter>&amp;L&amp;P+5 | &amp;F&amp;RTARIF TINDAKAN RAWAT JALAN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6FEF9-3134-4B72-A605-ED27C1FA8261}">
  <sheetPr codeName="Sheet4"/>
  <dimension ref="A1:H753"/>
  <sheetViews>
    <sheetView showGridLines="0" view="pageLayout" topLeftCell="A703" zoomScale="55" zoomScaleNormal="100" zoomScalePageLayoutView="55" workbookViewId="0">
      <selection activeCell="G494" sqref="G494"/>
    </sheetView>
  </sheetViews>
  <sheetFormatPr defaultRowHeight="15"/>
  <cols>
    <col min="2" max="2" width="55.7109375" style="277" customWidth="1"/>
    <col min="3" max="3" width="18.5703125" style="35" hidden="1" customWidth="1"/>
    <col min="4" max="5" width="18.28515625" style="1" customWidth="1"/>
    <col min="6" max="7" width="18.42578125" style="1" customWidth="1"/>
    <col min="8" max="8" width="18.28515625" style="1" customWidth="1"/>
  </cols>
  <sheetData>
    <row r="1" spans="1:8" ht="18.75">
      <c r="A1" s="50" t="s">
        <v>442</v>
      </c>
      <c r="D1" s="10"/>
      <c r="E1" s="10"/>
      <c r="F1" s="10"/>
      <c r="G1" s="10"/>
      <c r="H1" s="10"/>
    </row>
    <row r="2" spans="1:8" ht="18.75">
      <c r="A2" s="50" t="s">
        <v>18</v>
      </c>
      <c r="D2" s="10"/>
      <c r="E2" s="10"/>
      <c r="F2" s="10"/>
      <c r="G2" s="10"/>
      <c r="H2" s="10"/>
    </row>
    <row r="3" spans="1:8" ht="19.5" thickBot="1">
      <c r="A3" s="50"/>
      <c r="D3" s="10"/>
      <c r="E3" s="10"/>
      <c r="F3" s="10"/>
      <c r="G3" s="10"/>
      <c r="H3" s="10"/>
    </row>
    <row r="4" spans="1:8" ht="30.75" thickBot="1">
      <c r="A4" s="7" t="s">
        <v>15</v>
      </c>
      <c r="B4" s="240" t="s">
        <v>19</v>
      </c>
      <c r="C4" s="39"/>
      <c r="D4" s="13" t="s">
        <v>20</v>
      </c>
      <c r="E4" s="13" t="s">
        <v>21</v>
      </c>
      <c r="F4" s="13" t="s">
        <v>2309</v>
      </c>
      <c r="G4" s="13" t="s">
        <v>2313</v>
      </c>
      <c r="H4" s="13" t="s">
        <v>498</v>
      </c>
    </row>
    <row r="5" spans="1:8">
      <c r="A5" s="274">
        <v>1</v>
      </c>
      <c r="B5" s="276" t="s">
        <v>1568</v>
      </c>
      <c r="C5" s="272">
        <v>381150.00000000006</v>
      </c>
      <c r="D5" s="20">
        <f>ROUNDUP(C5,-3)</f>
        <v>382000</v>
      </c>
      <c r="E5" s="20">
        <f>ROUNDUP($C5*1.1,-3)</f>
        <v>420000</v>
      </c>
      <c r="F5" s="20">
        <f>ROUNDUP($C5*1.1*1.1,-3)</f>
        <v>462000</v>
      </c>
      <c r="G5" s="20">
        <f>ROUNDUP($C5*1.1*1.1*1.1,-3)</f>
        <v>508000</v>
      </c>
      <c r="H5" s="20">
        <f>ROUNDUP($C5*1.1*1.1*1.1*1.1,-3)</f>
        <v>559000</v>
      </c>
    </row>
    <row r="6" spans="1:8">
      <c r="A6" s="274">
        <v>2</v>
      </c>
      <c r="B6" s="222" t="s">
        <v>1569</v>
      </c>
      <c r="C6" s="273">
        <v>177719.30000000002</v>
      </c>
      <c r="D6" s="20">
        <f t="shared" ref="D6:D69" si="0">ROUNDUP(C6,-3)</f>
        <v>178000</v>
      </c>
      <c r="E6" s="20">
        <f t="shared" ref="E6:E69" si="1">ROUNDUP($C6*1.1,-3)</f>
        <v>196000</v>
      </c>
      <c r="F6" s="20">
        <f t="shared" ref="F6:F69" si="2">ROUNDUP($C6*1.1*1.1,-3)</f>
        <v>216000</v>
      </c>
      <c r="G6" s="20">
        <f t="shared" ref="G6:G69" si="3">ROUNDUP($C6*1.1*1.1*1.1,-3)</f>
        <v>237000</v>
      </c>
      <c r="H6" s="20">
        <f t="shared" ref="H6:H69" si="4">ROUNDUP($C6*1.1*1.1*1.1*1.1,-3)</f>
        <v>261000</v>
      </c>
    </row>
    <row r="7" spans="1:8">
      <c r="A7" s="274">
        <v>3</v>
      </c>
      <c r="B7" s="222" t="s">
        <v>1570</v>
      </c>
      <c r="C7" s="272">
        <v>419719.30000000005</v>
      </c>
      <c r="D7" s="20">
        <f t="shared" si="0"/>
        <v>420000</v>
      </c>
      <c r="E7" s="20">
        <f t="shared" si="1"/>
        <v>462000</v>
      </c>
      <c r="F7" s="20">
        <f t="shared" si="2"/>
        <v>508000</v>
      </c>
      <c r="G7" s="20">
        <f t="shared" si="3"/>
        <v>559000</v>
      </c>
      <c r="H7" s="20">
        <f t="shared" si="4"/>
        <v>615000</v>
      </c>
    </row>
    <row r="8" spans="1:8">
      <c r="A8" s="274">
        <v>4</v>
      </c>
      <c r="B8" s="222" t="s">
        <v>1571</v>
      </c>
      <c r="C8" s="273">
        <v>55206.8</v>
      </c>
      <c r="D8" s="20">
        <f t="shared" si="0"/>
        <v>56000</v>
      </c>
      <c r="E8" s="20">
        <f t="shared" si="1"/>
        <v>61000</v>
      </c>
      <c r="F8" s="20">
        <f t="shared" si="2"/>
        <v>67000</v>
      </c>
      <c r="G8" s="20">
        <f t="shared" si="3"/>
        <v>74000</v>
      </c>
      <c r="H8" s="20">
        <f t="shared" si="4"/>
        <v>81000</v>
      </c>
    </row>
    <row r="9" spans="1:8">
      <c r="A9" s="274">
        <v>5</v>
      </c>
      <c r="B9" s="222" t="s">
        <v>1572</v>
      </c>
      <c r="C9" s="272">
        <v>279056.80000000005</v>
      </c>
      <c r="D9" s="20">
        <f t="shared" si="0"/>
        <v>280000</v>
      </c>
      <c r="E9" s="20">
        <f t="shared" si="1"/>
        <v>307000</v>
      </c>
      <c r="F9" s="20">
        <f t="shared" si="2"/>
        <v>338000</v>
      </c>
      <c r="G9" s="20">
        <f t="shared" si="3"/>
        <v>372000</v>
      </c>
      <c r="H9" s="20">
        <f t="shared" si="4"/>
        <v>409000</v>
      </c>
    </row>
    <row r="10" spans="1:8">
      <c r="A10" s="274">
        <v>6</v>
      </c>
      <c r="B10" s="222" t="s">
        <v>1573</v>
      </c>
      <c r="C10" s="273">
        <v>124781.8</v>
      </c>
      <c r="D10" s="20">
        <f t="shared" si="0"/>
        <v>125000</v>
      </c>
      <c r="E10" s="20">
        <f t="shared" si="1"/>
        <v>138000</v>
      </c>
      <c r="F10" s="20">
        <f t="shared" si="2"/>
        <v>151000</v>
      </c>
      <c r="G10" s="20">
        <f t="shared" si="3"/>
        <v>167000</v>
      </c>
      <c r="H10" s="20">
        <f t="shared" si="4"/>
        <v>183000</v>
      </c>
    </row>
    <row r="11" spans="1:8">
      <c r="A11" s="274">
        <v>7</v>
      </c>
      <c r="B11" s="222" t="s">
        <v>1574</v>
      </c>
      <c r="C11" s="272">
        <v>161081.80000000002</v>
      </c>
      <c r="D11" s="20">
        <f t="shared" si="0"/>
        <v>162000</v>
      </c>
      <c r="E11" s="20">
        <f t="shared" si="1"/>
        <v>178000</v>
      </c>
      <c r="F11" s="20">
        <f t="shared" si="2"/>
        <v>195000</v>
      </c>
      <c r="G11" s="20">
        <f t="shared" si="3"/>
        <v>215000</v>
      </c>
      <c r="H11" s="20">
        <f t="shared" si="4"/>
        <v>236000</v>
      </c>
    </row>
    <row r="12" spans="1:8">
      <c r="A12" s="274">
        <v>8</v>
      </c>
      <c r="B12" s="222" t="s">
        <v>1575</v>
      </c>
      <c r="C12" s="273">
        <v>196625.00000000003</v>
      </c>
      <c r="D12" s="20">
        <f t="shared" si="0"/>
        <v>197000</v>
      </c>
      <c r="E12" s="20">
        <f t="shared" si="1"/>
        <v>217000</v>
      </c>
      <c r="F12" s="20">
        <f t="shared" si="2"/>
        <v>238000</v>
      </c>
      <c r="G12" s="20">
        <f t="shared" si="3"/>
        <v>262000</v>
      </c>
      <c r="H12" s="20">
        <f t="shared" si="4"/>
        <v>288000</v>
      </c>
    </row>
    <row r="13" spans="1:8">
      <c r="A13" s="274">
        <v>9</v>
      </c>
      <c r="B13" s="222" t="s">
        <v>1576</v>
      </c>
      <c r="C13" s="272">
        <v>76381.8</v>
      </c>
      <c r="D13" s="20">
        <f t="shared" si="0"/>
        <v>77000</v>
      </c>
      <c r="E13" s="20">
        <f t="shared" si="1"/>
        <v>85000</v>
      </c>
      <c r="F13" s="20">
        <f t="shared" si="2"/>
        <v>93000</v>
      </c>
      <c r="G13" s="20">
        <f t="shared" si="3"/>
        <v>102000</v>
      </c>
      <c r="H13" s="20">
        <f t="shared" si="4"/>
        <v>112000</v>
      </c>
    </row>
    <row r="14" spans="1:8">
      <c r="A14" s="274">
        <v>10</v>
      </c>
      <c r="B14" s="222" t="s">
        <v>1577</v>
      </c>
      <c r="C14" s="273">
        <v>507444.30000000005</v>
      </c>
      <c r="D14" s="20">
        <f t="shared" si="0"/>
        <v>508000</v>
      </c>
      <c r="E14" s="20">
        <f t="shared" si="1"/>
        <v>559000</v>
      </c>
      <c r="F14" s="20">
        <f t="shared" si="2"/>
        <v>615000</v>
      </c>
      <c r="G14" s="20">
        <f t="shared" si="3"/>
        <v>676000</v>
      </c>
      <c r="H14" s="20">
        <f t="shared" si="4"/>
        <v>743000</v>
      </c>
    </row>
    <row r="15" spans="1:8">
      <c r="A15" s="274">
        <v>11</v>
      </c>
      <c r="B15" s="222" t="s">
        <v>1578</v>
      </c>
      <c r="C15" s="272">
        <v>127050.00000000001</v>
      </c>
      <c r="D15" s="20">
        <f t="shared" si="0"/>
        <v>128000</v>
      </c>
      <c r="E15" s="20">
        <f t="shared" si="1"/>
        <v>140000</v>
      </c>
      <c r="F15" s="20">
        <f t="shared" si="2"/>
        <v>154000</v>
      </c>
      <c r="G15" s="20">
        <f t="shared" si="3"/>
        <v>170000</v>
      </c>
      <c r="H15" s="20">
        <f t="shared" si="4"/>
        <v>187000</v>
      </c>
    </row>
    <row r="16" spans="1:8">
      <c r="A16" s="274">
        <v>12</v>
      </c>
      <c r="B16" s="222" t="s">
        <v>1579</v>
      </c>
      <c r="C16" s="273">
        <v>444675.00000000006</v>
      </c>
      <c r="D16" s="20">
        <f t="shared" si="0"/>
        <v>445000</v>
      </c>
      <c r="E16" s="20">
        <f t="shared" si="1"/>
        <v>490000</v>
      </c>
      <c r="F16" s="20">
        <f t="shared" si="2"/>
        <v>539000</v>
      </c>
      <c r="G16" s="20">
        <f t="shared" si="3"/>
        <v>592000</v>
      </c>
      <c r="H16" s="20">
        <f t="shared" si="4"/>
        <v>652000</v>
      </c>
    </row>
    <row r="17" spans="1:8">
      <c r="A17" s="274">
        <v>13</v>
      </c>
      <c r="B17" s="222" t="s">
        <v>1580</v>
      </c>
      <c r="C17" s="272">
        <v>1141181.8</v>
      </c>
      <c r="D17" s="20">
        <f t="shared" si="0"/>
        <v>1142000</v>
      </c>
      <c r="E17" s="20">
        <f t="shared" si="1"/>
        <v>1256000</v>
      </c>
      <c r="F17" s="20">
        <f t="shared" si="2"/>
        <v>1381000</v>
      </c>
      <c r="G17" s="20">
        <f t="shared" si="3"/>
        <v>1519000</v>
      </c>
      <c r="H17" s="20">
        <f t="shared" si="4"/>
        <v>1671000</v>
      </c>
    </row>
    <row r="18" spans="1:8">
      <c r="A18" s="274">
        <v>14</v>
      </c>
      <c r="B18" s="222" t="s">
        <v>1581</v>
      </c>
      <c r="C18" s="273">
        <v>50669.3</v>
      </c>
      <c r="D18" s="20">
        <f t="shared" si="0"/>
        <v>51000</v>
      </c>
      <c r="E18" s="20">
        <f t="shared" si="1"/>
        <v>56000</v>
      </c>
      <c r="F18" s="20">
        <f t="shared" si="2"/>
        <v>62000</v>
      </c>
      <c r="G18" s="20">
        <f t="shared" si="3"/>
        <v>68000</v>
      </c>
      <c r="H18" s="20">
        <f t="shared" si="4"/>
        <v>75000</v>
      </c>
    </row>
    <row r="19" spans="1:8">
      <c r="A19" s="274">
        <v>15</v>
      </c>
      <c r="B19" s="222" t="s">
        <v>1582</v>
      </c>
      <c r="C19" s="272">
        <v>228387.50000000003</v>
      </c>
      <c r="D19" s="20">
        <f t="shared" si="0"/>
        <v>229000</v>
      </c>
      <c r="E19" s="20">
        <f t="shared" si="1"/>
        <v>252000</v>
      </c>
      <c r="F19" s="20">
        <f t="shared" si="2"/>
        <v>277000</v>
      </c>
      <c r="G19" s="20">
        <f t="shared" si="3"/>
        <v>304000</v>
      </c>
      <c r="H19" s="20">
        <f t="shared" si="4"/>
        <v>335000</v>
      </c>
    </row>
    <row r="20" spans="1:8">
      <c r="A20" s="274">
        <v>16</v>
      </c>
      <c r="B20" s="222" t="s">
        <v>1583</v>
      </c>
      <c r="C20" s="273">
        <v>115706.8</v>
      </c>
      <c r="D20" s="20">
        <f t="shared" si="0"/>
        <v>116000</v>
      </c>
      <c r="E20" s="20">
        <f t="shared" si="1"/>
        <v>128000</v>
      </c>
      <c r="F20" s="20">
        <f t="shared" si="2"/>
        <v>141000</v>
      </c>
      <c r="G20" s="20">
        <f t="shared" si="3"/>
        <v>155000</v>
      </c>
      <c r="H20" s="20">
        <f t="shared" si="4"/>
        <v>170000</v>
      </c>
    </row>
    <row r="21" spans="1:8">
      <c r="A21" s="274">
        <v>17</v>
      </c>
      <c r="B21" s="222" t="s">
        <v>1584</v>
      </c>
      <c r="C21" s="272">
        <v>145200</v>
      </c>
      <c r="D21" s="20">
        <f t="shared" si="0"/>
        <v>146000</v>
      </c>
      <c r="E21" s="20">
        <f t="shared" si="1"/>
        <v>160000</v>
      </c>
      <c r="F21" s="20">
        <f t="shared" si="2"/>
        <v>176000</v>
      </c>
      <c r="G21" s="20">
        <f t="shared" si="3"/>
        <v>194000</v>
      </c>
      <c r="H21" s="20">
        <f t="shared" si="4"/>
        <v>213000</v>
      </c>
    </row>
    <row r="22" spans="1:8">
      <c r="A22" s="274">
        <v>18</v>
      </c>
      <c r="B22" s="222" t="s">
        <v>1585</v>
      </c>
      <c r="C22" s="273">
        <v>69575</v>
      </c>
      <c r="D22" s="20">
        <f t="shared" si="0"/>
        <v>70000</v>
      </c>
      <c r="E22" s="20">
        <f t="shared" si="1"/>
        <v>77000</v>
      </c>
      <c r="F22" s="20">
        <f t="shared" si="2"/>
        <v>85000</v>
      </c>
      <c r="G22" s="20">
        <f t="shared" si="3"/>
        <v>93000</v>
      </c>
      <c r="H22" s="20">
        <f t="shared" si="4"/>
        <v>102000</v>
      </c>
    </row>
    <row r="23" spans="1:8">
      <c r="A23" s="274">
        <v>19</v>
      </c>
      <c r="B23" s="222" t="s">
        <v>1586</v>
      </c>
      <c r="C23" s="272">
        <v>220000.00000000003</v>
      </c>
      <c r="D23" s="20">
        <f t="shared" si="0"/>
        <v>220000</v>
      </c>
      <c r="E23" s="20">
        <f t="shared" si="1"/>
        <v>242000</v>
      </c>
      <c r="F23" s="20">
        <f t="shared" si="2"/>
        <v>267000</v>
      </c>
      <c r="G23" s="20">
        <f t="shared" si="3"/>
        <v>293000</v>
      </c>
      <c r="H23" s="20">
        <f t="shared" si="4"/>
        <v>323000</v>
      </c>
    </row>
    <row r="24" spans="1:8">
      <c r="A24" s="274">
        <v>20</v>
      </c>
      <c r="B24" s="222" t="s">
        <v>1587</v>
      </c>
      <c r="C24" s="273">
        <v>253344.30000000002</v>
      </c>
      <c r="D24" s="20">
        <f t="shared" si="0"/>
        <v>254000</v>
      </c>
      <c r="E24" s="20">
        <f t="shared" si="1"/>
        <v>279000</v>
      </c>
      <c r="F24" s="20">
        <f t="shared" si="2"/>
        <v>307000</v>
      </c>
      <c r="G24" s="20">
        <f t="shared" si="3"/>
        <v>338000</v>
      </c>
      <c r="H24" s="20">
        <f t="shared" si="4"/>
        <v>371000</v>
      </c>
    </row>
    <row r="25" spans="1:8">
      <c r="A25" s="274">
        <v>21</v>
      </c>
      <c r="B25" s="222" t="s">
        <v>1588</v>
      </c>
      <c r="C25" s="272">
        <v>191331.80000000002</v>
      </c>
      <c r="D25" s="20">
        <f t="shared" si="0"/>
        <v>192000</v>
      </c>
      <c r="E25" s="20">
        <f t="shared" si="1"/>
        <v>211000</v>
      </c>
      <c r="F25" s="20">
        <f t="shared" si="2"/>
        <v>232000</v>
      </c>
      <c r="G25" s="20">
        <f t="shared" si="3"/>
        <v>255000</v>
      </c>
      <c r="H25" s="20">
        <f t="shared" si="4"/>
        <v>281000</v>
      </c>
    </row>
    <row r="26" spans="1:8">
      <c r="A26" s="274">
        <v>22</v>
      </c>
      <c r="B26" s="222" t="s">
        <v>1589</v>
      </c>
      <c r="C26" s="273">
        <v>634494.30000000005</v>
      </c>
      <c r="D26" s="20">
        <f t="shared" si="0"/>
        <v>635000</v>
      </c>
      <c r="E26" s="20">
        <f t="shared" si="1"/>
        <v>698000</v>
      </c>
      <c r="F26" s="20">
        <f t="shared" si="2"/>
        <v>768000</v>
      </c>
      <c r="G26" s="20">
        <f t="shared" si="3"/>
        <v>845000</v>
      </c>
      <c r="H26" s="20">
        <f t="shared" si="4"/>
        <v>929000</v>
      </c>
    </row>
    <row r="27" spans="1:8">
      <c r="A27" s="274">
        <v>23</v>
      </c>
      <c r="B27" s="222" t="s">
        <v>1590</v>
      </c>
      <c r="C27" s="272">
        <v>253344.30000000002</v>
      </c>
      <c r="D27" s="20">
        <f t="shared" si="0"/>
        <v>254000</v>
      </c>
      <c r="E27" s="20">
        <f t="shared" si="1"/>
        <v>279000</v>
      </c>
      <c r="F27" s="20">
        <f t="shared" si="2"/>
        <v>307000</v>
      </c>
      <c r="G27" s="20">
        <f t="shared" si="3"/>
        <v>338000</v>
      </c>
      <c r="H27" s="20">
        <f t="shared" si="4"/>
        <v>371000</v>
      </c>
    </row>
    <row r="28" spans="1:8">
      <c r="A28" s="274">
        <v>24</v>
      </c>
      <c r="B28" s="222" t="s">
        <v>1591</v>
      </c>
      <c r="C28" s="273">
        <v>83600</v>
      </c>
      <c r="D28" s="20">
        <f t="shared" si="0"/>
        <v>84000</v>
      </c>
      <c r="E28" s="20">
        <f t="shared" si="1"/>
        <v>92000</v>
      </c>
      <c r="F28" s="20">
        <f t="shared" si="2"/>
        <v>102000</v>
      </c>
      <c r="G28" s="20">
        <f t="shared" si="3"/>
        <v>112000</v>
      </c>
      <c r="H28" s="20">
        <f t="shared" si="4"/>
        <v>123000</v>
      </c>
    </row>
    <row r="29" spans="1:8">
      <c r="A29" s="274">
        <v>25</v>
      </c>
      <c r="B29" s="222" t="s">
        <v>1592</v>
      </c>
      <c r="C29" s="272">
        <v>1653300.0000000002</v>
      </c>
      <c r="D29" s="20">
        <f t="shared" si="0"/>
        <v>1654000</v>
      </c>
      <c r="E29" s="20">
        <f t="shared" si="1"/>
        <v>1819000</v>
      </c>
      <c r="F29" s="20">
        <f t="shared" si="2"/>
        <v>2001000</v>
      </c>
      <c r="G29" s="20">
        <f t="shared" si="3"/>
        <v>2201000</v>
      </c>
      <c r="H29" s="20">
        <f t="shared" si="4"/>
        <v>2421000</v>
      </c>
    </row>
    <row r="30" spans="1:8">
      <c r="A30" s="274">
        <v>26</v>
      </c>
      <c r="B30" s="222" t="s">
        <v>1593</v>
      </c>
      <c r="C30" s="273">
        <v>83600</v>
      </c>
      <c r="D30" s="20">
        <f t="shared" si="0"/>
        <v>84000</v>
      </c>
      <c r="E30" s="20">
        <f t="shared" si="1"/>
        <v>92000</v>
      </c>
      <c r="F30" s="20">
        <f t="shared" si="2"/>
        <v>102000</v>
      </c>
      <c r="G30" s="20">
        <f t="shared" si="3"/>
        <v>112000</v>
      </c>
      <c r="H30" s="20">
        <f t="shared" si="4"/>
        <v>123000</v>
      </c>
    </row>
    <row r="31" spans="1:8">
      <c r="A31" s="274">
        <v>27</v>
      </c>
      <c r="B31" s="222" t="s">
        <v>1594</v>
      </c>
      <c r="C31" s="272">
        <v>83600</v>
      </c>
      <c r="D31" s="20">
        <f t="shared" si="0"/>
        <v>84000</v>
      </c>
      <c r="E31" s="20">
        <f t="shared" si="1"/>
        <v>92000</v>
      </c>
      <c r="F31" s="20">
        <f t="shared" si="2"/>
        <v>102000</v>
      </c>
      <c r="G31" s="20">
        <f t="shared" si="3"/>
        <v>112000</v>
      </c>
      <c r="H31" s="20">
        <f t="shared" si="4"/>
        <v>123000</v>
      </c>
    </row>
    <row r="32" spans="1:8">
      <c r="A32" s="274">
        <v>28</v>
      </c>
      <c r="B32" s="222" t="s">
        <v>1595</v>
      </c>
      <c r="C32" s="273">
        <v>83600</v>
      </c>
      <c r="D32" s="20">
        <f t="shared" si="0"/>
        <v>84000</v>
      </c>
      <c r="E32" s="20">
        <f t="shared" si="1"/>
        <v>92000</v>
      </c>
      <c r="F32" s="20">
        <f t="shared" si="2"/>
        <v>102000</v>
      </c>
      <c r="G32" s="20">
        <f t="shared" si="3"/>
        <v>112000</v>
      </c>
      <c r="H32" s="20">
        <f t="shared" si="4"/>
        <v>123000</v>
      </c>
    </row>
    <row r="33" spans="1:8">
      <c r="A33" s="274">
        <v>29</v>
      </c>
      <c r="B33" s="222" t="s">
        <v>1596</v>
      </c>
      <c r="C33" s="272">
        <v>254100.00000000003</v>
      </c>
      <c r="D33" s="20">
        <f t="shared" si="0"/>
        <v>255000</v>
      </c>
      <c r="E33" s="20">
        <f t="shared" si="1"/>
        <v>280000</v>
      </c>
      <c r="F33" s="20">
        <f t="shared" si="2"/>
        <v>308000</v>
      </c>
      <c r="G33" s="20">
        <f t="shared" si="3"/>
        <v>339000</v>
      </c>
      <c r="H33" s="20">
        <f t="shared" si="4"/>
        <v>373000</v>
      </c>
    </row>
    <row r="34" spans="1:8">
      <c r="A34" s="274">
        <v>30</v>
      </c>
      <c r="B34" s="222" t="s">
        <v>1597</v>
      </c>
      <c r="C34" s="273">
        <v>127050.00000000001</v>
      </c>
      <c r="D34" s="20">
        <f t="shared" si="0"/>
        <v>128000</v>
      </c>
      <c r="E34" s="20">
        <f t="shared" si="1"/>
        <v>140000</v>
      </c>
      <c r="F34" s="20">
        <f t="shared" si="2"/>
        <v>154000</v>
      </c>
      <c r="G34" s="20">
        <f t="shared" si="3"/>
        <v>170000</v>
      </c>
      <c r="H34" s="20">
        <f t="shared" si="4"/>
        <v>187000</v>
      </c>
    </row>
    <row r="35" spans="1:8">
      <c r="A35" s="274">
        <v>31</v>
      </c>
      <c r="B35" s="222" t="s">
        <v>1598</v>
      </c>
      <c r="C35" s="272">
        <v>253344.30000000002</v>
      </c>
      <c r="D35" s="20">
        <f t="shared" si="0"/>
        <v>254000</v>
      </c>
      <c r="E35" s="20">
        <f t="shared" si="1"/>
        <v>279000</v>
      </c>
      <c r="F35" s="20">
        <f t="shared" si="2"/>
        <v>307000</v>
      </c>
      <c r="G35" s="20">
        <f t="shared" si="3"/>
        <v>338000</v>
      </c>
      <c r="H35" s="20">
        <f t="shared" si="4"/>
        <v>371000</v>
      </c>
    </row>
    <row r="36" spans="1:8">
      <c r="A36" s="274">
        <v>32</v>
      </c>
      <c r="B36" s="222" t="s">
        <v>1599</v>
      </c>
      <c r="C36" s="273">
        <v>889350.00000000012</v>
      </c>
      <c r="D36" s="20">
        <f t="shared" si="0"/>
        <v>890000</v>
      </c>
      <c r="E36" s="20">
        <f t="shared" si="1"/>
        <v>979000</v>
      </c>
      <c r="F36" s="20">
        <f t="shared" si="2"/>
        <v>1077000</v>
      </c>
      <c r="G36" s="20">
        <f t="shared" si="3"/>
        <v>1184000</v>
      </c>
      <c r="H36" s="20">
        <f t="shared" si="4"/>
        <v>1303000</v>
      </c>
    </row>
    <row r="37" spans="1:8">
      <c r="A37" s="274">
        <v>33</v>
      </c>
      <c r="B37" s="222" t="s">
        <v>1600</v>
      </c>
      <c r="C37" s="272">
        <v>253344.30000000002</v>
      </c>
      <c r="D37" s="20">
        <f t="shared" si="0"/>
        <v>254000</v>
      </c>
      <c r="E37" s="20">
        <f t="shared" si="1"/>
        <v>279000</v>
      </c>
      <c r="F37" s="20">
        <f t="shared" si="2"/>
        <v>307000</v>
      </c>
      <c r="G37" s="20">
        <f t="shared" si="3"/>
        <v>338000</v>
      </c>
      <c r="H37" s="20">
        <f t="shared" si="4"/>
        <v>371000</v>
      </c>
    </row>
    <row r="38" spans="1:8">
      <c r="A38" s="274">
        <v>34</v>
      </c>
      <c r="B38" s="222" t="s">
        <v>1601</v>
      </c>
      <c r="C38" s="273">
        <v>45375.000000000007</v>
      </c>
      <c r="D38" s="20">
        <f t="shared" si="0"/>
        <v>46000</v>
      </c>
      <c r="E38" s="20">
        <f t="shared" si="1"/>
        <v>50000</v>
      </c>
      <c r="F38" s="20">
        <f t="shared" si="2"/>
        <v>55000</v>
      </c>
      <c r="G38" s="20">
        <f t="shared" si="3"/>
        <v>61000</v>
      </c>
      <c r="H38" s="20">
        <f t="shared" si="4"/>
        <v>67000</v>
      </c>
    </row>
    <row r="39" spans="1:8">
      <c r="A39" s="274">
        <v>35</v>
      </c>
      <c r="B39" s="222" t="s">
        <v>1602</v>
      </c>
      <c r="C39" s="272">
        <v>127050.00000000001</v>
      </c>
      <c r="D39" s="20">
        <f t="shared" si="0"/>
        <v>128000</v>
      </c>
      <c r="E39" s="20">
        <f t="shared" si="1"/>
        <v>140000</v>
      </c>
      <c r="F39" s="20">
        <f t="shared" si="2"/>
        <v>154000</v>
      </c>
      <c r="G39" s="20">
        <f t="shared" si="3"/>
        <v>170000</v>
      </c>
      <c r="H39" s="20">
        <f t="shared" si="4"/>
        <v>187000</v>
      </c>
    </row>
    <row r="40" spans="1:8">
      <c r="A40" s="274">
        <v>36</v>
      </c>
      <c r="B40" s="222" t="s">
        <v>1603</v>
      </c>
      <c r="C40" s="273">
        <v>558113.60000000009</v>
      </c>
      <c r="D40" s="20">
        <f t="shared" si="0"/>
        <v>559000</v>
      </c>
      <c r="E40" s="20">
        <f t="shared" si="1"/>
        <v>614000</v>
      </c>
      <c r="F40" s="20">
        <f t="shared" si="2"/>
        <v>676000</v>
      </c>
      <c r="G40" s="20">
        <f t="shared" si="3"/>
        <v>743000</v>
      </c>
      <c r="H40" s="20">
        <f t="shared" si="4"/>
        <v>818000</v>
      </c>
    </row>
    <row r="41" spans="1:8">
      <c r="A41" s="274">
        <v>37</v>
      </c>
      <c r="B41" s="222" t="s">
        <v>1604</v>
      </c>
      <c r="C41" s="272">
        <v>558112.5</v>
      </c>
      <c r="D41" s="20">
        <f t="shared" si="0"/>
        <v>559000</v>
      </c>
      <c r="E41" s="20">
        <f t="shared" si="1"/>
        <v>614000</v>
      </c>
      <c r="F41" s="20">
        <f t="shared" si="2"/>
        <v>676000</v>
      </c>
      <c r="G41" s="20">
        <f t="shared" si="3"/>
        <v>743000</v>
      </c>
      <c r="H41" s="20">
        <f t="shared" si="4"/>
        <v>818000</v>
      </c>
    </row>
    <row r="42" spans="1:8">
      <c r="A42" s="274">
        <v>38</v>
      </c>
      <c r="B42" s="222" t="s">
        <v>0</v>
      </c>
      <c r="C42" s="273">
        <v>1057237.5</v>
      </c>
      <c r="D42" s="20">
        <f t="shared" si="0"/>
        <v>1058000</v>
      </c>
      <c r="E42" s="20">
        <f t="shared" si="1"/>
        <v>1163000</v>
      </c>
      <c r="F42" s="20">
        <f t="shared" si="2"/>
        <v>1280000</v>
      </c>
      <c r="G42" s="20">
        <f t="shared" si="3"/>
        <v>1408000</v>
      </c>
      <c r="H42" s="20">
        <f t="shared" si="4"/>
        <v>1548000</v>
      </c>
    </row>
    <row r="43" spans="1:8">
      <c r="A43" s="274">
        <v>39</v>
      </c>
      <c r="B43" s="222" t="s">
        <v>1605</v>
      </c>
      <c r="C43" s="272">
        <v>253344.30000000002</v>
      </c>
      <c r="D43" s="20">
        <f t="shared" si="0"/>
        <v>254000</v>
      </c>
      <c r="E43" s="20">
        <f t="shared" si="1"/>
        <v>279000</v>
      </c>
      <c r="F43" s="20">
        <f t="shared" si="2"/>
        <v>307000</v>
      </c>
      <c r="G43" s="20">
        <f t="shared" si="3"/>
        <v>338000</v>
      </c>
      <c r="H43" s="20">
        <f t="shared" si="4"/>
        <v>371000</v>
      </c>
    </row>
    <row r="44" spans="1:8">
      <c r="A44" s="274">
        <v>40</v>
      </c>
      <c r="B44" s="222" t="s">
        <v>1606</v>
      </c>
      <c r="C44" s="273">
        <v>253344.30000000002</v>
      </c>
      <c r="D44" s="20">
        <f t="shared" si="0"/>
        <v>254000</v>
      </c>
      <c r="E44" s="20">
        <f t="shared" si="1"/>
        <v>279000</v>
      </c>
      <c r="F44" s="20">
        <f t="shared" si="2"/>
        <v>307000</v>
      </c>
      <c r="G44" s="20">
        <f t="shared" si="3"/>
        <v>338000</v>
      </c>
      <c r="H44" s="20">
        <f t="shared" si="4"/>
        <v>371000</v>
      </c>
    </row>
    <row r="45" spans="1:8">
      <c r="A45" s="274">
        <v>41</v>
      </c>
      <c r="B45" s="222" t="s">
        <v>1607</v>
      </c>
      <c r="C45" s="272">
        <v>887837.50000000012</v>
      </c>
      <c r="D45" s="20">
        <f t="shared" si="0"/>
        <v>888000</v>
      </c>
      <c r="E45" s="20">
        <f t="shared" si="1"/>
        <v>977000</v>
      </c>
      <c r="F45" s="20">
        <f t="shared" si="2"/>
        <v>1075000</v>
      </c>
      <c r="G45" s="20">
        <f t="shared" si="3"/>
        <v>1182000</v>
      </c>
      <c r="H45" s="20">
        <f t="shared" si="4"/>
        <v>1300000</v>
      </c>
    </row>
    <row r="46" spans="1:8">
      <c r="A46" s="274">
        <v>42</v>
      </c>
      <c r="B46" s="222" t="s">
        <v>1608</v>
      </c>
      <c r="C46" s="273">
        <v>156544.30000000002</v>
      </c>
      <c r="D46" s="20">
        <f t="shared" si="0"/>
        <v>157000</v>
      </c>
      <c r="E46" s="20">
        <f t="shared" si="1"/>
        <v>173000</v>
      </c>
      <c r="F46" s="20">
        <f t="shared" si="2"/>
        <v>190000</v>
      </c>
      <c r="G46" s="20">
        <f t="shared" si="3"/>
        <v>209000</v>
      </c>
      <c r="H46" s="20">
        <f t="shared" si="4"/>
        <v>230000</v>
      </c>
    </row>
    <row r="47" spans="1:8">
      <c r="A47" s="274">
        <v>43</v>
      </c>
      <c r="B47" s="222" t="s">
        <v>1609</v>
      </c>
      <c r="C47" s="272">
        <v>634494.30000000005</v>
      </c>
      <c r="D47" s="20">
        <f t="shared" si="0"/>
        <v>635000</v>
      </c>
      <c r="E47" s="20">
        <f t="shared" si="1"/>
        <v>698000</v>
      </c>
      <c r="F47" s="20">
        <f t="shared" si="2"/>
        <v>768000</v>
      </c>
      <c r="G47" s="20">
        <f t="shared" si="3"/>
        <v>845000</v>
      </c>
      <c r="H47" s="20">
        <f t="shared" si="4"/>
        <v>929000</v>
      </c>
    </row>
    <row r="48" spans="1:8">
      <c r="A48" s="274">
        <v>44</v>
      </c>
      <c r="B48" s="222" t="s">
        <v>1610</v>
      </c>
      <c r="C48" s="273">
        <v>1268231.8</v>
      </c>
      <c r="D48" s="20">
        <f t="shared" si="0"/>
        <v>1269000</v>
      </c>
      <c r="E48" s="20">
        <f t="shared" si="1"/>
        <v>1396000</v>
      </c>
      <c r="F48" s="20">
        <f t="shared" si="2"/>
        <v>1535000</v>
      </c>
      <c r="G48" s="20">
        <f t="shared" si="3"/>
        <v>1689000</v>
      </c>
      <c r="H48" s="20">
        <f t="shared" si="4"/>
        <v>1857000</v>
      </c>
    </row>
    <row r="49" spans="1:8">
      <c r="A49" s="274">
        <v>45</v>
      </c>
      <c r="B49" s="222" t="s">
        <v>1611</v>
      </c>
      <c r="C49" s="272">
        <v>1100000</v>
      </c>
      <c r="D49" s="20">
        <f t="shared" si="0"/>
        <v>1100000</v>
      </c>
      <c r="E49" s="20">
        <f t="shared" si="1"/>
        <v>1210000</v>
      </c>
      <c r="F49" s="20">
        <f t="shared" si="2"/>
        <v>1331000</v>
      </c>
      <c r="G49" s="20">
        <f t="shared" si="3"/>
        <v>1465000</v>
      </c>
      <c r="H49" s="20">
        <f t="shared" si="4"/>
        <v>1611000</v>
      </c>
    </row>
    <row r="50" spans="1:8">
      <c r="A50" s="274">
        <v>46</v>
      </c>
      <c r="B50" s="222" t="s">
        <v>1612</v>
      </c>
      <c r="C50" s="273">
        <v>165000</v>
      </c>
      <c r="D50" s="20">
        <f t="shared" si="0"/>
        <v>165000</v>
      </c>
      <c r="E50" s="20">
        <f t="shared" si="1"/>
        <v>182000</v>
      </c>
      <c r="F50" s="20">
        <f t="shared" si="2"/>
        <v>200000</v>
      </c>
      <c r="G50" s="20">
        <f t="shared" si="3"/>
        <v>220000</v>
      </c>
      <c r="H50" s="20">
        <f t="shared" si="4"/>
        <v>242000</v>
      </c>
    </row>
    <row r="51" spans="1:8">
      <c r="A51" s="274">
        <v>47</v>
      </c>
      <c r="B51" s="222" t="s">
        <v>1613</v>
      </c>
      <c r="C51" s="272">
        <v>191331.80000000002</v>
      </c>
      <c r="D51" s="20">
        <f t="shared" si="0"/>
        <v>192000</v>
      </c>
      <c r="E51" s="20">
        <f t="shared" si="1"/>
        <v>211000</v>
      </c>
      <c r="F51" s="20">
        <f t="shared" si="2"/>
        <v>232000</v>
      </c>
      <c r="G51" s="20">
        <f t="shared" si="3"/>
        <v>255000</v>
      </c>
      <c r="H51" s="20">
        <f t="shared" si="4"/>
        <v>281000</v>
      </c>
    </row>
    <row r="52" spans="1:8">
      <c r="A52" s="274">
        <v>48</v>
      </c>
      <c r="B52" s="222" t="s">
        <v>1614</v>
      </c>
      <c r="C52" s="273">
        <v>691969.3</v>
      </c>
      <c r="D52" s="20">
        <f t="shared" si="0"/>
        <v>692000</v>
      </c>
      <c r="E52" s="20">
        <f t="shared" si="1"/>
        <v>762000</v>
      </c>
      <c r="F52" s="20">
        <f t="shared" si="2"/>
        <v>838000</v>
      </c>
      <c r="G52" s="20">
        <f t="shared" si="3"/>
        <v>922000</v>
      </c>
      <c r="H52" s="20">
        <f t="shared" si="4"/>
        <v>1014000</v>
      </c>
    </row>
    <row r="53" spans="1:8">
      <c r="A53" s="274">
        <v>49</v>
      </c>
      <c r="B53" s="222" t="s">
        <v>1615</v>
      </c>
      <c r="C53" s="272">
        <v>41595.4</v>
      </c>
      <c r="D53" s="20">
        <f t="shared" si="0"/>
        <v>42000</v>
      </c>
      <c r="E53" s="20">
        <f t="shared" si="1"/>
        <v>46000</v>
      </c>
      <c r="F53" s="20">
        <f t="shared" si="2"/>
        <v>51000</v>
      </c>
      <c r="G53" s="20">
        <f t="shared" si="3"/>
        <v>56000</v>
      </c>
      <c r="H53" s="20">
        <f t="shared" si="4"/>
        <v>61000</v>
      </c>
    </row>
    <row r="54" spans="1:8">
      <c r="A54" s="274">
        <v>50</v>
      </c>
      <c r="B54" s="222" t="s">
        <v>1616</v>
      </c>
      <c r="C54" s="273">
        <v>41594.300000000003</v>
      </c>
      <c r="D54" s="20">
        <f t="shared" si="0"/>
        <v>42000</v>
      </c>
      <c r="E54" s="20">
        <f t="shared" si="1"/>
        <v>46000</v>
      </c>
      <c r="F54" s="20">
        <f t="shared" si="2"/>
        <v>51000</v>
      </c>
      <c r="G54" s="20">
        <f t="shared" si="3"/>
        <v>56000</v>
      </c>
      <c r="H54" s="20">
        <f t="shared" si="4"/>
        <v>61000</v>
      </c>
    </row>
    <row r="55" spans="1:8">
      <c r="A55" s="274">
        <v>51</v>
      </c>
      <c r="B55" s="222" t="s">
        <v>1617</v>
      </c>
      <c r="C55" s="272">
        <v>254100.00000000003</v>
      </c>
      <c r="D55" s="20">
        <f t="shared" si="0"/>
        <v>255000</v>
      </c>
      <c r="E55" s="20">
        <f t="shared" si="1"/>
        <v>280000</v>
      </c>
      <c r="F55" s="20">
        <f t="shared" si="2"/>
        <v>308000</v>
      </c>
      <c r="G55" s="20">
        <f t="shared" si="3"/>
        <v>339000</v>
      </c>
      <c r="H55" s="20">
        <f t="shared" si="4"/>
        <v>373000</v>
      </c>
    </row>
    <row r="56" spans="1:8">
      <c r="A56" s="274">
        <v>52</v>
      </c>
      <c r="B56" s="222" t="s">
        <v>1618</v>
      </c>
      <c r="C56" s="273">
        <v>64281.8</v>
      </c>
      <c r="D56" s="20">
        <f t="shared" si="0"/>
        <v>65000</v>
      </c>
      <c r="E56" s="20">
        <f t="shared" si="1"/>
        <v>71000</v>
      </c>
      <c r="F56" s="20">
        <f t="shared" si="2"/>
        <v>78000</v>
      </c>
      <c r="G56" s="20">
        <f t="shared" si="3"/>
        <v>86000</v>
      </c>
      <c r="H56" s="20">
        <f t="shared" si="4"/>
        <v>95000</v>
      </c>
    </row>
    <row r="57" spans="1:8">
      <c r="A57" s="274">
        <v>53</v>
      </c>
      <c r="B57" s="222" t="s">
        <v>1619</v>
      </c>
      <c r="C57" s="272">
        <v>64281.8</v>
      </c>
      <c r="D57" s="20">
        <f t="shared" si="0"/>
        <v>65000</v>
      </c>
      <c r="E57" s="20">
        <f t="shared" si="1"/>
        <v>71000</v>
      </c>
      <c r="F57" s="20">
        <f t="shared" si="2"/>
        <v>78000</v>
      </c>
      <c r="G57" s="20">
        <f t="shared" si="3"/>
        <v>86000</v>
      </c>
      <c r="H57" s="20">
        <f t="shared" si="4"/>
        <v>95000</v>
      </c>
    </row>
    <row r="58" spans="1:8">
      <c r="A58" s="274">
        <v>54</v>
      </c>
      <c r="B58" s="222" t="s">
        <v>1620</v>
      </c>
      <c r="C58" s="273">
        <v>4757569.3000000007</v>
      </c>
      <c r="D58" s="20">
        <f t="shared" si="0"/>
        <v>4758000</v>
      </c>
      <c r="E58" s="20">
        <f t="shared" si="1"/>
        <v>5234000</v>
      </c>
      <c r="F58" s="20">
        <f t="shared" si="2"/>
        <v>5757000</v>
      </c>
      <c r="G58" s="20">
        <f t="shared" si="3"/>
        <v>6333000</v>
      </c>
      <c r="H58" s="20">
        <f t="shared" si="4"/>
        <v>6966000</v>
      </c>
    </row>
    <row r="59" spans="1:8">
      <c r="A59" s="274">
        <v>55</v>
      </c>
      <c r="B59" s="222" t="s">
        <v>1621</v>
      </c>
      <c r="C59" s="272">
        <v>8766450</v>
      </c>
      <c r="D59" s="20">
        <f t="shared" si="0"/>
        <v>8767000</v>
      </c>
      <c r="E59" s="20">
        <f t="shared" si="1"/>
        <v>9644000</v>
      </c>
      <c r="F59" s="20">
        <f t="shared" si="2"/>
        <v>10608000</v>
      </c>
      <c r="G59" s="20">
        <f t="shared" si="3"/>
        <v>11669000</v>
      </c>
      <c r="H59" s="20">
        <f t="shared" si="4"/>
        <v>12835000</v>
      </c>
    </row>
    <row r="60" spans="1:8">
      <c r="A60" s="274">
        <v>56</v>
      </c>
      <c r="B60" s="222" t="s">
        <v>1622</v>
      </c>
      <c r="C60" s="273">
        <v>12577950.000000002</v>
      </c>
      <c r="D60" s="20">
        <f t="shared" si="0"/>
        <v>12578000</v>
      </c>
      <c r="E60" s="20">
        <f t="shared" si="1"/>
        <v>13836000</v>
      </c>
      <c r="F60" s="20">
        <f t="shared" si="2"/>
        <v>15220000</v>
      </c>
      <c r="G60" s="20">
        <f t="shared" si="3"/>
        <v>16742000</v>
      </c>
      <c r="H60" s="20">
        <f t="shared" si="4"/>
        <v>18416000</v>
      </c>
    </row>
    <row r="61" spans="1:8">
      <c r="A61" s="274">
        <v>57</v>
      </c>
      <c r="B61" s="222" t="s">
        <v>1623</v>
      </c>
      <c r="C61" s="272">
        <v>130831.80000000002</v>
      </c>
      <c r="D61" s="20">
        <f t="shared" si="0"/>
        <v>131000</v>
      </c>
      <c r="E61" s="20">
        <f t="shared" si="1"/>
        <v>144000</v>
      </c>
      <c r="F61" s="20">
        <f t="shared" si="2"/>
        <v>159000</v>
      </c>
      <c r="G61" s="20">
        <f t="shared" si="3"/>
        <v>175000</v>
      </c>
      <c r="H61" s="20">
        <f t="shared" si="4"/>
        <v>192000</v>
      </c>
    </row>
    <row r="62" spans="1:8">
      <c r="A62" s="274">
        <v>58</v>
      </c>
      <c r="B62" s="222" t="s">
        <v>1624</v>
      </c>
      <c r="C62" s="273">
        <v>130831.80000000002</v>
      </c>
      <c r="D62" s="20">
        <f t="shared" si="0"/>
        <v>131000</v>
      </c>
      <c r="E62" s="20">
        <f t="shared" si="1"/>
        <v>144000</v>
      </c>
      <c r="F62" s="20">
        <f t="shared" si="2"/>
        <v>159000</v>
      </c>
      <c r="G62" s="20">
        <f t="shared" si="3"/>
        <v>175000</v>
      </c>
      <c r="H62" s="20">
        <f t="shared" si="4"/>
        <v>192000</v>
      </c>
    </row>
    <row r="63" spans="1:8">
      <c r="A63" s="274">
        <v>59</v>
      </c>
      <c r="B63" s="222" t="s">
        <v>1625</v>
      </c>
      <c r="C63" s="272">
        <v>238219.30000000002</v>
      </c>
      <c r="D63" s="20">
        <f t="shared" si="0"/>
        <v>239000</v>
      </c>
      <c r="E63" s="20">
        <f t="shared" si="1"/>
        <v>263000</v>
      </c>
      <c r="F63" s="20">
        <f t="shared" si="2"/>
        <v>289000</v>
      </c>
      <c r="G63" s="20">
        <f t="shared" si="3"/>
        <v>318000</v>
      </c>
      <c r="H63" s="20">
        <f t="shared" si="4"/>
        <v>349000</v>
      </c>
    </row>
    <row r="64" spans="1:8">
      <c r="A64" s="274">
        <v>60</v>
      </c>
      <c r="B64" s="222" t="s">
        <v>1626</v>
      </c>
      <c r="C64" s="273">
        <v>158056.80000000002</v>
      </c>
      <c r="D64" s="20">
        <f t="shared" si="0"/>
        <v>159000</v>
      </c>
      <c r="E64" s="20">
        <f t="shared" si="1"/>
        <v>174000</v>
      </c>
      <c r="F64" s="20">
        <f t="shared" si="2"/>
        <v>192000</v>
      </c>
      <c r="G64" s="20">
        <f t="shared" si="3"/>
        <v>211000</v>
      </c>
      <c r="H64" s="20">
        <f t="shared" si="4"/>
        <v>232000</v>
      </c>
    </row>
    <row r="65" spans="1:8">
      <c r="A65" s="274">
        <v>61</v>
      </c>
      <c r="B65" s="222" t="s">
        <v>1627</v>
      </c>
      <c r="C65" s="272">
        <v>130831.80000000002</v>
      </c>
      <c r="D65" s="20">
        <f t="shared" si="0"/>
        <v>131000</v>
      </c>
      <c r="E65" s="20">
        <f t="shared" si="1"/>
        <v>144000</v>
      </c>
      <c r="F65" s="20">
        <f t="shared" si="2"/>
        <v>159000</v>
      </c>
      <c r="G65" s="20">
        <f t="shared" si="3"/>
        <v>175000</v>
      </c>
      <c r="H65" s="20">
        <f t="shared" si="4"/>
        <v>192000</v>
      </c>
    </row>
    <row r="66" spans="1:8">
      <c r="A66" s="274">
        <v>62</v>
      </c>
      <c r="B66" s="222" t="s">
        <v>1628</v>
      </c>
      <c r="C66" s="273">
        <v>77894.3</v>
      </c>
      <c r="D66" s="20">
        <f t="shared" si="0"/>
        <v>78000</v>
      </c>
      <c r="E66" s="20">
        <f t="shared" si="1"/>
        <v>86000</v>
      </c>
      <c r="F66" s="20">
        <f t="shared" si="2"/>
        <v>95000</v>
      </c>
      <c r="G66" s="20">
        <f t="shared" si="3"/>
        <v>104000</v>
      </c>
      <c r="H66" s="20">
        <f t="shared" si="4"/>
        <v>115000</v>
      </c>
    </row>
    <row r="67" spans="1:8">
      <c r="A67" s="274">
        <v>63</v>
      </c>
      <c r="B67" s="222" t="s">
        <v>1629</v>
      </c>
      <c r="C67" s="272">
        <v>825825.00000000012</v>
      </c>
      <c r="D67" s="20">
        <f t="shared" si="0"/>
        <v>826000</v>
      </c>
      <c r="E67" s="20">
        <f t="shared" si="1"/>
        <v>909000</v>
      </c>
      <c r="F67" s="20">
        <f t="shared" si="2"/>
        <v>1000000</v>
      </c>
      <c r="G67" s="20">
        <f t="shared" si="3"/>
        <v>1100000</v>
      </c>
      <c r="H67" s="20">
        <f t="shared" si="4"/>
        <v>1210000</v>
      </c>
    </row>
    <row r="68" spans="1:8">
      <c r="A68" s="274">
        <v>64</v>
      </c>
      <c r="B68" s="222" t="s">
        <v>1630</v>
      </c>
      <c r="C68" s="273">
        <v>396275.00000000006</v>
      </c>
      <c r="D68" s="20">
        <f t="shared" si="0"/>
        <v>397000</v>
      </c>
      <c r="E68" s="20">
        <f t="shared" si="1"/>
        <v>436000</v>
      </c>
      <c r="F68" s="20">
        <f t="shared" si="2"/>
        <v>480000</v>
      </c>
      <c r="G68" s="20">
        <f t="shared" si="3"/>
        <v>528000</v>
      </c>
      <c r="H68" s="20">
        <f t="shared" si="4"/>
        <v>581000</v>
      </c>
    </row>
    <row r="69" spans="1:8">
      <c r="A69" s="274">
        <v>65</v>
      </c>
      <c r="B69" s="222" t="s">
        <v>1631</v>
      </c>
      <c r="C69" s="272">
        <v>1902725.0000000002</v>
      </c>
      <c r="D69" s="20">
        <f t="shared" si="0"/>
        <v>1903000</v>
      </c>
      <c r="E69" s="20">
        <f t="shared" si="1"/>
        <v>2093000</v>
      </c>
      <c r="F69" s="20">
        <f t="shared" si="2"/>
        <v>2303000</v>
      </c>
      <c r="G69" s="20">
        <f t="shared" si="3"/>
        <v>2533000</v>
      </c>
      <c r="H69" s="20">
        <f t="shared" si="4"/>
        <v>2786000</v>
      </c>
    </row>
    <row r="70" spans="1:8">
      <c r="A70" s="274">
        <v>66</v>
      </c>
      <c r="B70" s="222" t="s">
        <v>1632</v>
      </c>
      <c r="C70" s="273">
        <v>173937.5</v>
      </c>
      <c r="D70" s="20">
        <f t="shared" ref="D70:D133" si="5">ROUNDUP(C70,-3)</f>
        <v>174000</v>
      </c>
      <c r="E70" s="20">
        <f t="shared" ref="E70:E133" si="6">ROUNDUP($C70*1.1,-3)</f>
        <v>192000</v>
      </c>
      <c r="F70" s="20">
        <f t="shared" ref="F70:F133" si="7">ROUNDUP($C70*1.1*1.1,-3)</f>
        <v>211000</v>
      </c>
      <c r="G70" s="20">
        <f t="shared" ref="G70:G133" si="8">ROUNDUP($C70*1.1*1.1*1.1,-3)</f>
        <v>232000</v>
      </c>
      <c r="H70" s="20">
        <f t="shared" ref="H70:H133" si="9">ROUNDUP($C70*1.1*1.1*1.1*1.1,-3)</f>
        <v>255000</v>
      </c>
    </row>
    <row r="71" spans="1:8">
      <c r="A71" s="274">
        <v>67</v>
      </c>
      <c r="B71" s="222" t="s">
        <v>1633</v>
      </c>
      <c r="C71" s="272">
        <v>87725</v>
      </c>
      <c r="D71" s="20">
        <f t="shared" si="5"/>
        <v>88000</v>
      </c>
      <c r="E71" s="20">
        <f t="shared" si="6"/>
        <v>97000</v>
      </c>
      <c r="F71" s="20">
        <f t="shared" si="7"/>
        <v>107000</v>
      </c>
      <c r="G71" s="20">
        <f t="shared" si="8"/>
        <v>117000</v>
      </c>
      <c r="H71" s="20">
        <f t="shared" si="9"/>
        <v>129000</v>
      </c>
    </row>
    <row r="72" spans="1:8">
      <c r="A72" s="274">
        <v>68</v>
      </c>
      <c r="B72" s="222" t="s">
        <v>1634</v>
      </c>
      <c r="C72" s="273">
        <v>537694.30000000005</v>
      </c>
      <c r="D72" s="20">
        <f t="shared" si="5"/>
        <v>538000</v>
      </c>
      <c r="E72" s="20">
        <f t="shared" si="6"/>
        <v>592000</v>
      </c>
      <c r="F72" s="20">
        <f t="shared" si="7"/>
        <v>651000</v>
      </c>
      <c r="G72" s="20">
        <f t="shared" si="8"/>
        <v>716000</v>
      </c>
      <c r="H72" s="20">
        <f t="shared" si="9"/>
        <v>788000</v>
      </c>
    </row>
    <row r="73" spans="1:8">
      <c r="A73" s="274">
        <v>69</v>
      </c>
      <c r="B73" s="222" t="s">
        <v>1635</v>
      </c>
      <c r="C73" s="272">
        <v>130831.80000000002</v>
      </c>
      <c r="D73" s="20">
        <f t="shared" si="5"/>
        <v>131000</v>
      </c>
      <c r="E73" s="20">
        <f t="shared" si="6"/>
        <v>144000</v>
      </c>
      <c r="F73" s="20">
        <f t="shared" si="7"/>
        <v>159000</v>
      </c>
      <c r="G73" s="20">
        <f t="shared" si="8"/>
        <v>175000</v>
      </c>
      <c r="H73" s="20">
        <f t="shared" si="9"/>
        <v>192000</v>
      </c>
    </row>
    <row r="74" spans="1:8">
      <c r="A74" s="274">
        <v>70</v>
      </c>
      <c r="B74" s="222" t="s">
        <v>1636</v>
      </c>
      <c r="C74" s="273">
        <v>127050.00000000001</v>
      </c>
      <c r="D74" s="20">
        <f t="shared" si="5"/>
        <v>128000</v>
      </c>
      <c r="E74" s="20">
        <f t="shared" si="6"/>
        <v>140000</v>
      </c>
      <c r="F74" s="20">
        <f t="shared" si="7"/>
        <v>154000</v>
      </c>
      <c r="G74" s="20">
        <f t="shared" si="8"/>
        <v>170000</v>
      </c>
      <c r="H74" s="20">
        <f t="shared" si="9"/>
        <v>187000</v>
      </c>
    </row>
    <row r="75" spans="1:8">
      <c r="A75" s="274">
        <v>71</v>
      </c>
      <c r="B75" s="222" t="s">
        <v>1637</v>
      </c>
      <c r="C75" s="272">
        <v>553575</v>
      </c>
      <c r="D75" s="20">
        <f t="shared" si="5"/>
        <v>554000</v>
      </c>
      <c r="E75" s="20">
        <f t="shared" si="6"/>
        <v>609000</v>
      </c>
      <c r="F75" s="20">
        <f t="shared" si="7"/>
        <v>670000</v>
      </c>
      <c r="G75" s="20">
        <f t="shared" si="8"/>
        <v>737000</v>
      </c>
      <c r="H75" s="20">
        <f t="shared" si="9"/>
        <v>811000</v>
      </c>
    </row>
    <row r="76" spans="1:8">
      <c r="A76" s="274">
        <v>72</v>
      </c>
      <c r="B76" s="222" t="s">
        <v>391</v>
      </c>
      <c r="C76" s="273">
        <v>330000</v>
      </c>
      <c r="D76" s="20">
        <f t="shared" si="5"/>
        <v>330000</v>
      </c>
      <c r="E76" s="20">
        <f t="shared" si="6"/>
        <v>363000</v>
      </c>
      <c r="F76" s="20">
        <f t="shared" si="7"/>
        <v>400000</v>
      </c>
      <c r="G76" s="20">
        <f t="shared" si="8"/>
        <v>440000</v>
      </c>
      <c r="H76" s="20">
        <f t="shared" si="9"/>
        <v>484000</v>
      </c>
    </row>
    <row r="77" spans="1:8">
      <c r="A77" s="274">
        <v>73</v>
      </c>
      <c r="B77" s="222" t="s">
        <v>1638</v>
      </c>
      <c r="C77" s="272">
        <v>152763.6</v>
      </c>
      <c r="D77" s="20">
        <f t="shared" si="5"/>
        <v>153000</v>
      </c>
      <c r="E77" s="20">
        <f t="shared" si="6"/>
        <v>169000</v>
      </c>
      <c r="F77" s="20">
        <f t="shared" si="7"/>
        <v>185000</v>
      </c>
      <c r="G77" s="20">
        <f t="shared" si="8"/>
        <v>204000</v>
      </c>
      <c r="H77" s="20">
        <f t="shared" si="9"/>
        <v>224000</v>
      </c>
    </row>
    <row r="78" spans="1:8">
      <c r="A78" s="274">
        <v>74</v>
      </c>
      <c r="B78" s="222" t="s">
        <v>1639</v>
      </c>
      <c r="C78" s="273">
        <v>152762.5</v>
      </c>
      <c r="D78" s="20">
        <f t="shared" si="5"/>
        <v>153000</v>
      </c>
      <c r="E78" s="20">
        <f t="shared" si="6"/>
        <v>169000</v>
      </c>
      <c r="F78" s="20">
        <f t="shared" si="7"/>
        <v>185000</v>
      </c>
      <c r="G78" s="20">
        <f t="shared" si="8"/>
        <v>204000</v>
      </c>
      <c r="H78" s="20">
        <f t="shared" si="9"/>
        <v>224000</v>
      </c>
    </row>
    <row r="79" spans="1:8">
      <c r="A79" s="274">
        <v>75</v>
      </c>
      <c r="B79" s="222" t="s">
        <v>1640</v>
      </c>
      <c r="C79" s="272">
        <v>1660725.0000000002</v>
      </c>
      <c r="D79" s="20">
        <f t="shared" si="5"/>
        <v>1661000</v>
      </c>
      <c r="E79" s="20">
        <f t="shared" si="6"/>
        <v>1827000</v>
      </c>
      <c r="F79" s="20">
        <f t="shared" si="7"/>
        <v>2010000</v>
      </c>
      <c r="G79" s="20">
        <f t="shared" si="8"/>
        <v>2211000</v>
      </c>
      <c r="H79" s="20">
        <f t="shared" si="9"/>
        <v>2432000</v>
      </c>
    </row>
    <row r="80" spans="1:8">
      <c r="A80" s="274">
        <v>76</v>
      </c>
      <c r="B80" s="222" t="s">
        <v>1641</v>
      </c>
      <c r="C80" s="273">
        <v>483153.00000000006</v>
      </c>
      <c r="D80" s="20">
        <f t="shared" si="5"/>
        <v>484000</v>
      </c>
      <c r="E80" s="20">
        <f t="shared" si="6"/>
        <v>532000</v>
      </c>
      <c r="F80" s="20">
        <f t="shared" si="7"/>
        <v>585000</v>
      </c>
      <c r="G80" s="20">
        <f t="shared" si="8"/>
        <v>644000</v>
      </c>
      <c r="H80" s="20">
        <f t="shared" si="9"/>
        <v>708000</v>
      </c>
    </row>
    <row r="81" spans="1:8">
      <c r="A81" s="274">
        <v>77</v>
      </c>
      <c r="B81" s="222" t="s">
        <v>1642</v>
      </c>
      <c r="C81" s="272">
        <v>691969.3</v>
      </c>
      <c r="D81" s="20">
        <f t="shared" si="5"/>
        <v>692000</v>
      </c>
      <c r="E81" s="20">
        <f t="shared" si="6"/>
        <v>762000</v>
      </c>
      <c r="F81" s="20">
        <f t="shared" si="7"/>
        <v>838000</v>
      </c>
      <c r="G81" s="20">
        <f t="shared" si="8"/>
        <v>922000</v>
      </c>
      <c r="H81" s="20">
        <f t="shared" si="9"/>
        <v>1014000</v>
      </c>
    </row>
    <row r="82" spans="1:8">
      <c r="A82" s="274">
        <v>78</v>
      </c>
      <c r="B82" s="222" t="s">
        <v>1643</v>
      </c>
      <c r="C82" s="273">
        <v>1014134.0000000001</v>
      </c>
      <c r="D82" s="20">
        <f t="shared" si="5"/>
        <v>1015000</v>
      </c>
      <c r="E82" s="20">
        <f t="shared" si="6"/>
        <v>1116000</v>
      </c>
      <c r="F82" s="20">
        <f t="shared" si="7"/>
        <v>1228000</v>
      </c>
      <c r="G82" s="20">
        <f t="shared" si="8"/>
        <v>1350000</v>
      </c>
      <c r="H82" s="20">
        <f t="shared" si="9"/>
        <v>1485000</v>
      </c>
    </row>
    <row r="83" spans="1:8">
      <c r="A83" s="274">
        <v>79</v>
      </c>
      <c r="B83" s="222" t="s">
        <v>1644</v>
      </c>
      <c r="C83" s="272">
        <v>1014131.8</v>
      </c>
      <c r="D83" s="20">
        <f t="shared" si="5"/>
        <v>1015000</v>
      </c>
      <c r="E83" s="20">
        <f t="shared" si="6"/>
        <v>1116000</v>
      </c>
      <c r="F83" s="20">
        <f t="shared" si="7"/>
        <v>1228000</v>
      </c>
      <c r="G83" s="20">
        <f t="shared" si="8"/>
        <v>1350000</v>
      </c>
      <c r="H83" s="20">
        <f t="shared" si="9"/>
        <v>1485000</v>
      </c>
    </row>
    <row r="84" spans="1:8">
      <c r="A84" s="274">
        <v>80</v>
      </c>
      <c r="B84" s="222" t="s">
        <v>1645</v>
      </c>
      <c r="C84" s="273">
        <v>3805450.0000000005</v>
      </c>
      <c r="D84" s="20">
        <f t="shared" si="5"/>
        <v>3806000</v>
      </c>
      <c r="E84" s="20">
        <f t="shared" si="6"/>
        <v>4186000</v>
      </c>
      <c r="F84" s="20">
        <f t="shared" si="7"/>
        <v>4605000</v>
      </c>
      <c r="G84" s="20">
        <f t="shared" si="8"/>
        <v>5066000</v>
      </c>
      <c r="H84" s="20">
        <f t="shared" si="9"/>
        <v>5572000</v>
      </c>
    </row>
    <row r="85" spans="1:8">
      <c r="A85" s="274">
        <v>81</v>
      </c>
      <c r="B85" s="222" t="s">
        <v>1646</v>
      </c>
      <c r="C85" s="272">
        <v>507445.4</v>
      </c>
      <c r="D85" s="20">
        <f t="shared" si="5"/>
        <v>508000</v>
      </c>
      <c r="E85" s="20">
        <f t="shared" si="6"/>
        <v>559000</v>
      </c>
      <c r="F85" s="20">
        <f t="shared" si="7"/>
        <v>615000</v>
      </c>
      <c r="G85" s="20">
        <f t="shared" si="8"/>
        <v>676000</v>
      </c>
      <c r="H85" s="20">
        <f t="shared" si="9"/>
        <v>743000</v>
      </c>
    </row>
    <row r="86" spans="1:8">
      <c r="A86" s="274">
        <v>82</v>
      </c>
      <c r="B86" s="222" t="s">
        <v>1647</v>
      </c>
      <c r="C86" s="273">
        <v>507444.30000000005</v>
      </c>
      <c r="D86" s="20">
        <f t="shared" si="5"/>
        <v>508000</v>
      </c>
      <c r="E86" s="20">
        <f t="shared" si="6"/>
        <v>559000</v>
      </c>
      <c r="F86" s="20">
        <f t="shared" si="7"/>
        <v>615000</v>
      </c>
      <c r="G86" s="20">
        <f t="shared" si="8"/>
        <v>676000</v>
      </c>
      <c r="H86" s="20">
        <f t="shared" si="9"/>
        <v>743000</v>
      </c>
    </row>
    <row r="87" spans="1:8">
      <c r="A87" s="274">
        <v>83</v>
      </c>
      <c r="B87" s="222" t="s">
        <v>1648</v>
      </c>
      <c r="C87" s="272">
        <v>2536463.6</v>
      </c>
      <c r="D87" s="20">
        <f t="shared" si="5"/>
        <v>2537000</v>
      </c>
      <c r="E87" s="20">
        <f t="shared" si="6"/>
        <v>2791000</v>
      </c>
      <c r="F87" s="20">
        <f t="shared" si="7"/>
        <v>3070000</v>
      </c>
      <c r="G87" s="20">
        <f t="shared" si="8"/>
        <v>3377000</v>
      </c>
      <c r="H87" s="20">
        <f t="shared" si="9"/>
        <v>3714000</v>
      </c>
    </row>
    <row r="88" spans="1:8">
      <c r="A88" s="274">
        <v>84</v>
      </c>
      <c r="B88" s="222" t="s">
        <v>1649</v>
      </c>
      <c r="C88" s="273">
        <v>2536462.5</v>
      </c>
      <c r="D88" s="20">
        <f t="shared" si="5"/>
        <v>2537000</v>
      </c>
      <c r="E88" s="20">
        <f t="shared" si="6"/>
        <v>2791000</v>
      </c>
      <c r="F88" s="20">
        <f t="shared" si="7"/>
        <v>3070000</v>
      </c>
      <c r="G88" s="20">
        <f t="shared" si="8"/>
        <v>3377000</v>
      </c>
      <c r="H88" s="20">
        <f t="shared" si="9"/>
        <v>3714000</v>
      </c>
    </row>
    <row r="89" spans="1:8">
      <c r="A89" s="274">
        <v>85</v>
      </c>
      <c r="B89" s="222" t="s">
        <v>1650</v>
      </c>
      <c r="C89" s="272">
        <v>1268231.8</v>
      </c>
      <c r="D89" s="20">
        <f t="shared" si="5"/>
        <v>1269000</v>
      </c>
      <c r="E89" s="20">
        <f t="shared" si="6"/>
        <v>1396000</v>
      </c>
      <c r="F89" s="20">
        <f t="shared" si="7"/>
        <v>1535000</v>
      </c>
      <c r="G89" s="20">
        <f t="shared" si="8"/>
        <v>1689000</v>
      </c>
      <c r="H89" s="20">
        <f t="shared" si="9"/>
        <v>1857000</v>
      </c>
    </row>
    <row r="90" spans="1:8">
      <c r="A90" s="274">
        <v>86</v>
      </c>
      <c r="B90" s="222" t="s">
        <v>1651</v>
      </c>
      <c r="C90" s="273">
        <v>381150.00000000006</v>
      </c>
      <c r="D90" s="20">
        <f t="shared" si="5"/>
        <v>382000</v>
      </c>
      <c r="E90" s="20">
        <f t="shared" si="6"/>
        <v>420000</v>
      </c>
      <c r="F90" s="20">
        <f t="shared" si="7"/>
        <v>462000</v>
      </c>
      <c r="G90" s="20">
        <f t="shared" si="8"/>
        <v>508000</v>
      </c>
      <c r="H90" s="20">
        <f t="shared" si="9"/>
        <v>559000</v>
      </c>
    </row>
    <row r="91" spans="1:8">
      <c r="A91" s="274">
        <v>87</v>
      </c>
      <c r="B91" s="222" t="s">
        <v>1652</v>
      </c>
      <c r="C91" s="272">
        <v>888140.00000000012</v>
      </c>
      <c r="D91" s="20">
        <f t="shared" si="5"/>
        <v>889000</v>
      </c>
      <c r="E91" s="20">
        <f t="shared" si="6"/>
        <v>977000</v>
      </c>
      <c r="F91" s="20">
        <f t="shared" si="7"/>
        <v>1075000</v>
      </c>
      <c r="G91" s="20">
        <f t="shared" si="8"/>
        <v>1183000</v>
      </c>
      <c r="H91" s="20">
        <f t="shared" si="9"/>
        <v>1301000</v>
      </c>
    </row>
    <row r="92" spans="1:8">
      <c r="A92" s="274">
        <v>88</v>
      </c>
      <c r="B92" s="222" t="s">
        <v>1653</v>
      </c>
      <c r="C92" s="273">
        <v>852324.00000000012</v>
      </c>
      <c r="D92" s="20">
        <f t="shared" si="5"/>
        <v>853000</v>
      </c>
      <c r="E92" s="20">
        <f t="shared" si="6"/>
        <v>938000</v>
      </c>
      <c r="F92" s="20">
        <f t="shared" si="7"/>
        <v>1032000</v>
      </c>
      <c r="G92" s="20">
        <f t="shared" si="8"/>
        <v>1135000</v>
      </c>
      <c r="H92" s="20">
        <f t="shared" si="9"/>
        <v>1248000</v>
      </c>
    </row>
    <row r="93" spans="1:8">
      <c r="A93" s="274">
        <v>89</v>
      </c>
      <c r="B93" s="222" t="s">
        <v>1654</v>
      </c>
      <c r="C93" s="272">
        <v>307794.30000000005</v>
      </c>
      <c r="D93" s="20">
        <f t="shared" si="5"/>
        <v>308000</v>
      </c>
      <c r="E93" s="20">
        <f t="shared" si="6"/>
        <v>339000</v>
      </c>
      <c r="F93" s="20">
        <f t="shared" si="7"/>
        <v>373000</v>
      </c>
      <c r="G93" s="20">
        <f t="shared" si="8"/>
        <v>410000</v>
      </c>
      <c r="H93" s="20">
        <f t="shared" si="9"/>
        <v>451000</v>
      </c>
    </row>
    <row r="94" spans="1:8">
      <c r="A94" s="274">
        <v>90</v>
      </c>
      <c r="B94" s="222" t="s">
        <v>1655</v>
      </c>
      <c r="C94" s="273">
        <v>191331.80000000002</v>
      </c>
      <c r="D94" s="20">
        <f t="shared" si="5"/>
        <v>192000</v>
      </c>
      <c r="E94" s="20">
        <f t="shared" si="6"/>
        <v>211000</v>
      </c>
      <c r="F94" s="20">
        <f t="shared" si="7"/>
        <v>232000</v>
      </c>
      <c r="G94" s="20">
        <f t="shared" si="8"/>
        <v>255000</v>
      </c>
      <c r="H94" s="20">
        <f t="shared" si="9"/>
        <v>281000</v>
      </c>
    </row>
    <row r="95" spans="1:8">
      <c r="A95" s="274">
        <v>91</v>
      </c>
      <c r="B95" s="222" t="s">
        <v>1656</v>
      </c>
      <c r="C95" s="272">
        <v>140662.5</v>
      </c>
      <c r="D95" s="20">
        <f t="shared" si="5"/>
        <v>141000</v>
      </c>
      <c r="E95" s="20">
        <f t="shared" si="6"/>
        <v>155000</v>
      </c>
      <c r="F95" s="20">
        <f t="shared" si="7"/>
        <v>171000</v>
      </c>
      <c r="G95" s="20">
        <f t="shared" si="8"/>
        <v>188000</v>
      </c>
      <c r="H95" s="20">
        <f t="shared" si="9"/>
        <v>206000</v>
      </c>
    </row>
    <row r="96" spans="1:8">
      <c r="A96" s="274">
        <v>92</v>
      </c>
      <c r="B96" s="222" t="s">
        <v>1657</v>
      </c>
      <c r="C96" s="273">
        <v>698775</v>
      </c>
      <c r="D96" s="20">
        <f t="shared" si="5"/>
        <v>699000</v>
      </c>
      <c r="E96" s="20">
        <f t="shared" si="6"/>
        <v>769000</v>
      </c>
      <c r="F96" s="20">
        <f t="shared" si="7"/>
        <v>846000</v>
      </c>
      <c r="G96" s="20">
        <f t="shared" si="8"/>
        <v>931000</v>
      </c>
      <c r="H96" s="20">
        <f t="shared" si="9"/>
        <v>1024000</v>
      </c>
    </row>
    <row r="97" spans="1:8">
      <c r="A97" s="274">
        <v>93</v>
      </c>
      <c r="B97" s="222" t="s">
        <v>1658</v>
      </c>
      <c r="C97" s="272">
        <v>1014131.8</v>
      </c>
      <c r="D97" s="20">
        <f t="shared" si="5"/>
        <v>1015000</v>
      </c>
      <c r="E97" s="20">
        <f t="shared" si="6"/>
        <v>1116000</v>
      </c>
      <c r="F97" s="20">
        <f t="shared" si="7"/>
        <v>1228000</v>
      </c>
      <c r="G97" s="20">
        <f t="shared" si="8"/>
        <v>1350000</v>
      </c>
      <c r="H97" s="20">
        <f t="shared" si="9"/>
        <v>1485000</v>
      </c>
    </row>
    <row r="98" spans="1:8">
      <c r="A98" s="274">
        <v>94</v>
      </c>
      <c r="B98" s="222" t="s">
        <v>1659</v>
      </c>
      <c r="C98" s="273">
        <v>381150.00000000006</v>
      </c>
      <c r="D98" s="20">
        <f t="shared" si="5"/>
        <v>382000</v>
      </c>
      <c r="E98" s="20">
        <f t="shared" si="6"/>
        <v>420000</v>
      </c>
      <c r="F98" s="20">
        <f t="shared" si="7"/>
        <v>462000</v>
      </c>
      <c r="G98" s="20">
        <f t="shared" si="8"/>
        <v>508000</v>
      </c>
      <c r="H98" s="20">
        <f t="shared" si="9"/>
        <v>559000</v>
      </c>
    </row>
    <row r="99" spans="1:8">
      <c r="A99" s="274">
        <v>95</v>
      </c>
      <c r="B99" s="222" t="s">
        <v>1660</v>
      </c>
      <c r="C99" s="272">
        <v>381150.00000000006</v>
      </c>
      <c r="D99" s="20">
        <f t="shared" si="5"/>
        <v>382000</v>
      </c>
      <c r="E99" s="20">
        <f t="shared" si="6"/>
        <v>420000</v>
      </c>
      <c r="F99" s="20">
        <f t="shared" si="7"/>
        <v>462000</v>
      </c>
      <c r="G99" s="20">
        <f t="shared" si="8"/>
        <v>508000</v>
      </c>
      <c r="H99" s="20">
        <f t="shared" si="9"/>
        <v>559000</v>
      </c>
    </row>
    <row r="100" spans="1:8">
      <c r="A100" s="274">
        <v>96</v>
      </c>
      <c r="B100" s="222" t="s">
        <v>1661</v>
      </c>
      <c r="C100" s="273">
        <v>699380</v>
      </c>
      <c r="D100" s="20">
        <f t="shared" si="5"/>
        <v>700000</v>
      </c>
      <c r="E100" s="20">
        <f t="shared" si="6"/>
        <v>770000</v>
      </c>
      <c r="F100" s="20">
        <f t="shared" si="7"/>
        <v>847000</v>
      </c>
      <c r="G100" s="20">
        <f t="shared" si="8"/>
        <v>931000</v>
      </c>
      <c r="H100" s="20">
        <f t="shared" si="9"/>
        <v>1024000</v>
      </c>
    </row>
    <row r="101" spans="1:8">
      <c r="A101" s="274">
        <v>97</v>
      </c>
      <c r="B101" s="222" t="s">
        <v>1662</v>
      </c>
      <c r="C101" s="272">
        <v>699380</v>
      </c>
      <c r="D101" s="20">
        <f t="shared" si="5"/>
        <v>700000</v>
      </c>
      <c r="E101" s="20">
        <f t="shared" si="6"/>
        <v>770000</v>
      </c>
      <c r="F101" s="20">
        <f t="shared" si="7"/>
        <v>847000</v>
      </c>
      <c r="G101" s="20">
        <f t="shared" si="8"/>
        <v>931000</v>
      </c>
      <c r="H101" s="20">
        <f t="shared" si="9"/>
        <v>1024000</v>
      </c>
    </row>
    <row r="102" spans="1:8">
      <c r="A102" s="274">
        <v>98</v>
      </c>
      <c r="B102" s="222" t="s">
        <v>1663</v>
      </c>
      <c r="C102" s="273">
        <v>447700.00000000006</v>
      </c>
      <c r="D102" s="20">
        <f t="shared" si="5"/>
        <v>448000</v>
      </c>
      <c r="E102" s="20">
        <f t="shared" si="6"/>
        <v>493000</v>
      </c>
      <c r="F102" s="20">
        <f t="shared" si="7"/>
        <v>542000</v>
      </c>
      <c r="G102" s="20">
        <f t="shared" si="8"/>
        <v>596000</v>
      </c>
      <c r="H102" s="20">
        <f t="shared" si="9"/>
        <v>656000</v>
      </c>
    </row>
    <row r="103" spans="1:8">
      <c r="A103" s="274">
        <v>99</v>
      </c>
      <c r="B103" s="222" t="s">
        <v>1664</v>
      </c>
      <c r="C103" s="272">
        <v>447700.00000000006</v>
      </c>
      <c r="D103" s="20">
        <f t="shared" si="5"/>
        <v>448000</v>
      </c>
      <c r="E103" s="20">
        <f t="shared" si="6"/>
        <v>493000</v>
      </c>
      <c r="F103" s="20">
        <f t="shared" si="7"/>
        <v>542000</v>
      </c>
      <c r="G103" s="20">
        <f t="shared" si="8"/>
        <v>596000</v>
      </c>
      <c r="H103" s="20">
        <f t="shared" si="9"/>
        <v>656000</v>
      </c>
    </row>
    <row r="104" spans="1:8">
      <c r="A104" s="274">
        <v>100</v>
      </c>
      <c r="B104" s="222" t="s">
        <v>1665</v>
      </c>
      <c r="C104" s="273">
        <v>168645.40000000002</v>
      </c>
      <c r="D104" s="20">
        <f t="shared" si="5"/>
        <v>169000</v>
      </c>
      <c r="E104" s="20">
        <f t="shared" si="6"/>
        <v>186000</v>
      </c>
      <c r="F104" s="20">
        <f t="shared" si="7"/>
        <v>205000</v>
      </c>
      <c r="G104" s="20">
        <f t="shared" si="8"/>
        <v>225000</v>
      </c>
      <c r="H104" s="20">
        <f t="shared" si="9"/>
        <v>247000</v>
      </c>
    </row>
    <row r="105" spans="1:8">
      <c r="A105" s="274">
        <v>101</v>
      </c>
      <c r="B105" s="222" t="s">
        <v>1666</v>
      </c>
      <c r="C105" s="272">
        <v>168644.30000000002</v>
      </c>
      <c r="D105" s="20">
        <f t="shared" si="5"/>
        <v>169000</v>
      </c>
      <c r="E105" s="20">
        <f t="shared" si="6"/>
        <v>186000</v>
      </c>
      <c r="F105" s="20">
        <f t="shared" si="7"/>
        <v>205000</v>
      </c>
      <c r="G105" s="20">
        <f t="shared" si="8"/>
        <v>225000</v>
      </c>
      <c r="H105" s="20">
        <f t="shared" si="9"/>
        <v>247000</v>
      </c>
    </row>
    <row r="106" spans="1:8">
      <c r="A106" s="274">
        <v>102</v>
      </c>
      <c r="B106" s="222" t="s">
        <v>1667</v>
      </c>
      <c r="C106" s="273">
        <v>348480</v>
      </c>
      <c r="D106" s="20">
        <f t="shared" si="5"/>
        <v>349000</v>
      </c>
      <c r="E106" s="20">
        <f t="shared" si="6"/>
        <v>384000</v>
      </c>
      <c r="F106" s="20">
        <f t="shared" si="7"/>
        <v>422000</v>
      </c>
      <c r="G106" s="20">
        <f t="shared" si="8"/>
        <v>464000</v>
      </c>
      <c r="H106" s="20">
        <f t="shared" si="9"/>
        <v>511000</v>
      </c>
    </row>
    <row r="107" spans="1:8">
      <c r="A107" s="274">
        <v>103</v>
      </c>
      <c r="B107" s="222" t="s">
        <v>1668</v>
      </c>
      <c r="C107" s="272">
        <v>348480</v>
      </c>
      <c r="D107" s="20">
        <f t="shared" si="5"/>
        <v>349000</v>
      </c>
      <c r="E107" s="20">
        <f t="shared" si="6"/>
        <v>384000</v>
      </c>
      <c r="F107" s="20">
        <f t="shared" si="7"/>
        <v>422000</v>
      </c>
      <c r="G107" s="20">
        <f t="shared" si="8"/>
        <v>464000</v>
      </c>
      <c r="H107" s="20">
        <f t="shared" si="9"/>
        <v>511000</v>
      </c>
    </row>
    <row r="108" spans="1:8">
      <c r="A108" s="274">
        <v>104</v>
      </c>
      <c r="B108" s="222" t="s">
        <v>1669</v>
      </c>
      <c r="C108" s="273">
        <v>115706.8</v>
      </c>
      <c r="D108" s="20">
        <f t="shared" si="5"/>
        <v>116000</v>
      </c>
      <c r="E108" s="20">
        <f t="shared" si="6"/>
        <v>128000</v>
      </c>
      <c r="F108" s="20">
        <f t="shared" si="7"/>
        <v>141000</v>
      </c>
      <c r="G108" s="20">
        <f t="shared" si="8"/>
        <v>155000</v>
      </c>
      <c r="H108" s="20">
        <f t="shared" si="9"/>
        <v>170000</v>
      </c>
    </row>
    <row r="109" spans="1:8">
      <c r="A109" s="274">
        <v>105</v>
      </c>
      <c r="B109" s="222" t="s">
        <v>1670</v>
      </c>
      <c r="C109" s="272">
        <v>381150.00000000006</v>
      </c>
      <c r="D109" s="20">
        <f t="shared" si="5"/>
        <v>382000</v>
      </c>
      <c r="E109" s="20">
        <f t="shared" si="6"/>
        <v>420000</v>
      </c>
      <c r="F109" s="20">
        <f t="shared" si="7"/>
        <v>462000</v>
      </c>
      <c r="G109" s="20">
        <f t="shared" si="8"/>
        <v>508000</v>
      </c>
      <c r="H109" s="20">
        <f t="shared" si="9"/>
        <v>559000</v>
      </c>
    </row>
    <row r="110" spans="1:8">
      <c r="A110" s="274">
        <v>106</v>
      </c>
      <c r="B110" s="222" t="s">
        <v>1671</v>
      </c>
      <c r="C110" s="273">
        <v>191331.80000000002</v>
      </c>
      <c r="D110" s="20">
        <f t="shared" si="5"/>
        <v>192000</v>
      </c>
      <c r="E110" s="20">
        <f t="shared" si="6"/>
        <v>211000</v>
      </c>
      <c r="F110" s="20">
        <f t="shared" si="7"/>
        <v>232000</v>
      </c>
      <c r="G110" s="20">
        <f t="shared" si="8"/>
        <v>255000</v>
      </c>
      <c r="H110" s="20">
        <f t="shared" si="9"/>
        <v>281000</v>
      </c>
    </row>
    <row r="111" spans="1:8">
      <c r="A111" s="274">
        <v>107</v>
      </c>
      <c r="B111" s="222" t="s">
        <v>1672</v>
      </c>
      <c r="C111" s="272">
        <v>316869.30000000005</v>
      </c>
      <c r="D111" s="20">
        <f t="shared" si="5"/>
        <v>317000</v>
      </c>
      <c r="E111" s="20">
        <f t="shared" si="6"/>
        <v>349000</v>
      </c>
      <c r="F111" s="20">
        <f t="shared" si="7"/>
        <v>384000</v>
      </c>
      <c r="G111" s="20">
        <f t="shared" si="8"/>
        <v>422000</v>
      </c>
      <c r="H111" s="20">
        <f t="shared" si="9"/>
        <v>464000</v>
      </c>
    </row>
    <row r="112" spans="1:8">
      <c r="A112" s="274">
        <v>108</v>
      </c>
      <c r="B112" s="222" t="s">
        <v>1673</v>
      </c>
      <c r="C112" s="273">
        <v>760787.50000000012</v>
      </c>
      <c r="D112" s="20">
        <f t="shared" si="5"/>
        <v>761000</v>
      </c>
      <c r="E112" s="20">
        <f t="shared" si="6"/>
        <v>837000</v>
      </c>
      <c r="F112" s="20">
        <f t="shared" si="7"/>
        <v>921000</v>
      </c>
      <c r="G112" s="20">
        <f t="shared" si="8"/>
        <v>1013000</v>
      </c>
      <c r="H112" s="20">
        <f t="shared" si="9"/>
        <v>1114000</v>
      </c>
    </row>
    <row r="113" spans="1:8">
      <c r="A113" s="274">
        <v>109</v>
      </c>
      <c r="B113" s="222" t="s">
        <v>1674</v>
      </c>
      <c r="C113" s="272">
        <v>127050.00000000001</v>
      </c>
      <c r="D113" s="20">
        <f t="shared" si="5"/>
        <v>128000</v>
      </c>
      <c r="E113" s="20">
        <f t="shared" si="6"/>
        <v>140000</v>
      </c>
      <c r="F113" s="20">
        <f t="shared" si="7"/>
        <v>154000</v>
      </c>
      <c r="G113" s="20">
        <f t="shared" si="8"/>
        <v>170000</v>
      </c>
      <c r="H113" s="20">
        <f t="shared" si="9"/>
        <v>187000</v>
      </c>
    </row>
    <row r="114" spans="1:8">
      <c r="A114" s="274">
        <v>110</v>
      </c>
      <c r="B114" s="222" t="s">
        <v>1675</v>
      </c>
      <c r="C114" s="273">
        <v>87725</v>
      </c>
      <c r="D114" s="20">
        <f t="shared" si="5"/>
        <v>88000</v>
      </c>
      <c r="E114" s="20">
        <f t="shared" si="6"/>
        <v>97000</v>
      </c>
      <c r="F114" s="20">
        <f t="shared" si="7"/>
        <v>107000</v>
      </c>
      <c r="G114" s="20">
        <f t="shared" si="8"/>
        <v>117000</v>
      </c>
      <c r="H114" s="20">
        <f t="shared" si="9"/>
        <v>129000</v>
      </c>
    </row>
    <row r="115" spans="1:8">
      <c r="A115" s="274">
        <v>111</v>
      </c>
      <c r="B115" s="222" t="s">
        <v>1676</v>
      </c>
      <c r="C115" s="272">
        <v>887837.50000000012</v>
      </c>
      <c r="D115" s="20">
        <f t="shared" si="5"/>
        <v>888000</v>
      </c>
      <c r="E115" s="20">
        <f t="shared" si="6"/>
        <v>977000</v>
      </c>
      <c r="F115" s="20">
        <f t="shared" si="7"/>
        <v>1075000</v>
      </c>
      <c r="G115" s="20">
        <f t="shared" si="8"/>
        <v>1182000</v>
      </c>
      <c r="H115" s="20">
        <f t="shared" si="9"/>
        <v>1300000</v>
      </c>
    </row>
    <row r="116" spans="1:8">
      <c r="A116" s="274">
        <v>112</v>
      </c>
      <c r="B116" s="222" t="s">
        <v>1677</v>
      </c>
      <c r="C116" s="273">
        <v>191331.80000000002</v>
      </c>
      <c r="D116" s="20">
        <f t="shared" si="5"/>
        <v>192000</v>
      </c>
      <c r="E116" s="20">
        <f t="shared" si="6"/>
        <v>211000</v>
      </c>
      <c r="F116" s="20">
        <f t="shared" si="7"/>
        <v>232000</v>
      </c>
      <c r="G116" s="20">
        <f t="shared" si="8"/>
        <v>255000</v>
      </c>
      <c r="H116" s="20">
        <f t="shared" si="9"/>
        <v>281000</v>
      </c>
    </row>
    <row r="117" spans="1:8">
      <c r="A117" s="274">
        <v>113</v>
      </c>
      <c r="B117" s="222" t="s">
        <v>1678</v>
      </c>
      <c r="C117" s="272">
        <v>101337.50000000001</v>
      </c>
      <c r="D117" s="20">
        <f t="shared" si="5"/>
        <v>102000</v>
      </c>
      <c r="E117" s="20">
        <f t="shared" si="6"/>
        <v>112000</v>
      </c>
      <c r="F117" s="20">
        <f t="shared" si="7"/>
        <v>123000</v>
      </c>
      <c r="G117" s="20">
        <f t="shared" si="8"/>
        <v>135000</v>
      </c>
      <c r="H117" s="20">
        <f t="shared" si="9"/>
        <v>149000</v>
      </c>
    </row>
    <row r="118" spans="1:8">
      <c r="A118" s="274">
        <v>114</v>
      </c>
      <c r="B118" s="222" t="s">
        <v>1679</v>
      </c>
      <c r="C118" s="273">
        <v>76381.8</v>
      </c>
      <c r="D118" s="20">
        <f t="shared" si="5"/>
        <v>77000</v>
      </c>
      <c r="E118" s="20">
        <f t="shared" si="6"/>
        <v>85000</v>
      </c>
      <c r="F118" s="20">
        <f t="shared" si="7"/>
        <v>93000</v>
      </c>
      <c r="G118" s="20">
        <f t="shared" si="8"/>
        <v>102000</v>
      </c>
      <c r="H118" s="20">
        <f t="shared" si="9"/>
        <v>112000</v>
      </c>
    </row>
    <row r="119" spans="1:8">
      <c r="A119" s="274">
        <v>115</v>
      </c>
      <c r="B119" s="222" t="s">
        <v>1680</v>
      </c>
      <c r="C119" s="272">
        <v>537694.30000000005</v>
      </c>
      <c r="D119" s="20">
        <f t="shared" si="5"/>
        <v>538000</v>
      </c>
      <c r="E119" s="20">
        <f t="shared" si="6"/>
        <v>592000</v>
      </c>
      <c r="F119" s="20">
        <f t="shared" si="7"/>
        <v>651000</v>
      </c>
      <c r="G119" s="20">
        <f t="shared" si="8"/>
        <v>716000</v>
      </c>
      <c r="H119" s="20">
        <f t="shared" si="9"/>
        <v>788000</v>
      </c>
    </row>
    <row r="120" spans="1:8">
      <c r="A120" s="274">
        <v>116</v>
      </c>
      <c r="B120" s="222" t="s">
        <v>1681</v>
      </c>
      <c r="C120" s="273">
        <v>537694.30000000005</v>
      </c>
      <c r="D120" s="20">
        <f t="shared" si="5"/>
        <v>538000</v>
      </c>
      <c r="E120" s="20">
        <f t="shared" si="6"/>
        <v>592000</v>
      </c>
      <c r="F120" s="20">
        <f t="shared" si="7"/>
        <v>651000</v>
      </c>
      <c r="G120" s="20">
        <f t="shared" si="8"/>
        <v>716000</v>
      </c>
      <c r="H120" s="20">
        <f t="shared" si="9"/>
        <v>788000</v>
      </c>
    </row>
    <row r="121" spans="1:8">
      <c r="A121" s="274">
        <v>117</v>
      </c>
      <c r="B121" s="222" t="s">
        <v>1682</v>
      </c>
      <c r="C121" s="272">
        <v>537694.30000000005</v>
      </c>
      <c r="D121" s="20">
        <f t="shared" si="5"/>
        <v>538000</v>
      </c>
      <c r="E121" s="20">
        <f t="shared" si="6"/>
        <v>592000</v>
      </c>
      <c r="F121" s="20">
        <f t="shared" si="7"/>
        <v>651000</v>
      </c>
      <c r="G121" s="20">
        <f t="shared" si="8"/>
        <v>716000</v>
      </c>
      <c r="H121" s="20">
        <f t="shared" si="9"/>
        <v>788000</v>
      </c>
    </row>
    <row r="122" spans="1:8">
      <c r="A122" s="274">
        <v>118</v>
      </c>
      <c r="B122" s="222" t="s">
        <v>1683</v>
      </c>
      <c r="C122" s="273">
        <v>50669.3</v>
      </c>
      <c r="D122" s="20">
        <f t="shared" si="5"/>
        <v>51000</v>
      </c>
      <c r="E122" s="20">
        <f t="shared" si="6"/>
        <v>56000</v>
      </c>
      <c r="F122" s="20">
        <f t="shared" si="7"/>
        <v>62000</v>
      </c>
      <c r="G122" s="20">
        <f t="shared" si="8"/>
        <v>68000</v>
      </c>
      <c r="H122" s="20">
        <f t="shared" si="9"/>
        <v>75000</v>
      </c>
    </row>
    <row r="123" spans="1:8">
      <c r="A123" s="274">
        <v>119</v>
      </c>
      <c r="B123" s="222" t="s">
        <v>1684</v>
      </c>
      <c r="C123" s="272">
        <v>161837.5</v>
      </c>
      <c r="D123" s="20">
        <f t="shared" si="5"/>
        <v>162000</v>
      </c>
      <c r="E123" s="20">
        <f t="shared" si="6"/>
        <v>179000</v>
      </c>
      <c r="F123" s="20">
        <f t="shared" si="7"/>
        <v>196000</v>
      </c>
      <c r="G123" s="20">
        <f t="shared" si="8"/>
        <v>216000</v>
      </c>
      <c r="H123" s="20">
        <f t="shared" si="9"/>
        <v>237000</v>
      </c>
    </row>
    <row r="124" spans="1:8">
      <c r="A124" s="274">
        <v>120</v>
      </c>
      <c r="B124" s="222" t="s">
        <v>1685</v>
      </c>
      <c r="C124" s="273">
        <v>161837.5</v>
      </c>
      <c r="D124" s="20">
        <f t="shared" si="5"/>
        <v>162000</v>
      </c>
      <c r="E124" s="20">
        <f t="shared" si="6"/>
        <v>179000</v>
      </c>
      <c r="F124" s="20">
        <f t="shared" si="7"/>
        <v>196000</v>
      </c>
      <c r="G124" s="20">
        <f t="shared" si="8"/>
        <v>216000</v>
      </c>
      <c r="H124" s="20">
        <f t="shared" si="9"/>
        <v>237000</v>
      </c>
    </row>
    <row r="125" spans="1:8">
      <c r="A125" s="274">
        <v>121</v>
      </c>
      <c r="B125" s="222" t="s">
        <v>1686</v>
      </c>
      <c r="C125" s="272">
        <v>161837.5</v>
      </c>
      <c r="D125" s="20">
        <f t="shared" si="5"/>
        <v>162000</v>
      </c>
      <c r="E125" s="20">
        <f t="shared" si="6"/>
        <v>179000</v>
      </c>
      <c r="F125" s="20">
        <f t="shared" si="7"/>
        <v>196000</v>
      </c>
      <c r="G125" s="20">
        <f t="shared" si="8"/>
        <v>216000</v>
      </c>
      <c r="H125" s="20">
        <f t="shared" si="9"/>
        <v>237000</v>
      </c>
    </row>
    <row r="126" spans="1:8">
      <c r="A126" s="274">
        <v>122</v>
      </c>
      <c r="B126" s="222" t="s">
        <v>1687</v>
      </c>
      <c r="C126" s="273">
        <v>8359587.5000000009</v>
      </c>
      <c r="D126" s="20">
        <f t="shared" si="5"/>
        <v>8360000</v>
      </c>
      <c r="E126" s="20">
        <f t="shared" si="6"/>
        <v>9196000</v>
      </c>
      <c r="F126" s="20">
        <f t="shared" si="7"/>
        <v>10116000</v>
      </c>
      <c r="G126" s="20">
        <f t="shared" si="8"/>
        <v>11127000</v>
      </c>
      <c r="H126" s="20">
        <f t="shared" si="9"/>
        <v>12240000</v>
      </c>
    </row>
    <row r="127" spans="1:8">
      <c r="A127" s="274">
        <v>123</v>
      </c>
      <c r="B127" s="222" t="s">
        <v>1688</v>
      </c>
      <c r="C127" s="272">
        <v>318381.80000000005</v>
      </c>
      <c r="D127" s="20">
        <f t="shared" si="5"/>
        <v>319000</v>
      </c>
      <c r="E127" s="20">
        <f t="shared" si="6"/>
        <v>351000</v>
      </c>
      <c r="F127" s="20">
        <f t="shared" si="7"/>
        <v>386000</v>
      </c>
      <c r="G127" s="20">
        <f t="shared" si="8"/>
        <v>424000</v>
      </c>
      <c r="H127" s="20">
        <f t="shared" si="9"/>
        <v>467000</v>
      </c>
    </row>
    <row r="128" spans="1:8">
      <c r="A128" s="274">
        <v>124</v>
      </c>
      <c r="B128" s="222" t="s">
        <v>1689</v>
      </c>
      <c r="C128" s="273">
        <v>253344.30000000002</v>
      </c>
      <c r="D128" s="20">
        <f t="shared" si="5"/>
        <v>254000</v>
      </c>
      <c r="E128" s="20">
        <f t="shared" si="6"/>
        <v>279000</v>
      </c>
      <c r="F128" s="20">
        <f t="shared" si="7"/>
        <v>307000</v>
      </c>
      <c r="G128" s="20">
        <f t="shared" si="8"/>
        <v>338000</v>
      </c>
      <c r="H128" s="20">
        <f t="shared" si="9"/>
        <v>371000</v>
      </c>
    </row>
    <row r="129" spans="1:8">
      <c r="A129" s="274">
        <v>125</v>
      </c>
      <c r="B129" s="222" t="s">
        <v>1690</v>
      </c>
      <c r="C129" s="272">
        <v>11910937.500000002</v>
      </c>
      <c r="D129" s="20">
        <f t="shared" si="5"/>
        <v>11911000</v>
      </c>
      <c r="E129" s="20">
        <f t="shared" si="6"/>
        <v>13103000</v>
      </c>
      <c r="F129" s="20">
        <f t="shared" si="7"/>
        <v>14413000</v>
      </c>
      <c r="G129" s="20">
        <f t="shared" si="8"/>
        <v>15854000</v>
      </c>
      <c r="H129" s="20">
        <f t="shared" si="9"/>
        <v>17439000</v>
      </c>
    </row>
    <row r="130" spans="1:8">
      <c r="A130" s="274">
        <v>126</v>
      </c>
      <c r="B130" s="222" t="s">
        <v>1691</v>
      </c>
      <c r="C130" s="273">
        <v>760787.50000000012</v>
      </c>
      <c r="D130" s="20">
        <f t="shared" si="5"/>
        <v>761000</v>
      </c>
      <c r="E130" s="20">
        <f t="shared" si="6"/>
        <v>837000</v>
      </c>
      <c r="F130" s="20">
        <f t="shared" si="7"/>
        <v>921000</v>
      </c>
      <c r="G130" s="20">
        <f t="shared" si="8"/>
        <v>1013000</v>
      </c>
      <c r="H130" s="20">
        <f t="shared" si="9"/>
        <v>1114000</v>
      </c>
    </row>
    <row r="131" spans="1:8">
      <c r="A131" s="274">
        <v>127</v>
      </c>
      <c r="B131" s="222" t="s">
        <v>1692</v>
      </c>
      <c r="C131" s="272">
        <v>381150.00000000006</v>
      </c>
      <c r="D131" s="20">
        <f t="shared" si="5"/>
        <v>382000</v>
      </c>
      <c r="E131" s="20">
        <f t="shared" si="6"/>
        <v>420000</v>
      </c>
      <c r="F131" s="20">
        <f t="shared" si="7"/>
        <v>462000</v>
      </c>
      <c r="G131" s="20">
        <f t="shared" si="8"/>
        <v>508000</v>
      </c>
      <c r="H131" s="20">
        <f t="shared" si="9"/>
        <v>559000</v>
      </c>
    </row>
    <row r="132" spans="1:8">
      <c r="A132" s="274">
        <v>128</v>
      </c>
      <c r="B132" s="222" t="s">
        <v>1693</v>
      </c>
      <c r="C132" s="273">
        <v>381150.00000000006</v>
      </c>
      <c r="D132" s="20">
        <f t="shared" si="5"/>
        <v>382000</v>
      </c>
      <c r="E132" s="20">
        <f t="shared" si="6"/>
        <v>420000</v>
      </c>
      <c r="F132" s="20">
        <f t="shared" si="7"/>
        <v>462000</v>
      </c>
      <c r="G132" s="20">
        <f t="shared" si="8"/>
        <v>508000</v>
      </c>
      <c r="H132" s="20">
        <f t="shared" si="9"/>
        <v>559000</v>
      </c>
    </row>
    <row r="133" spans="1:8">
      <c r="A133" s="274">
        <v>129</v>
      </c>
      <c r="B133" s="222" t="s">
        <v>1694</v>
      </c>
      <c r="C133" s="272">
        <v>176963.6</v>
      </c>
      <c r="D133" s="20">
        <f t="shared" si="5"/>
        <v>177000</v>
      </c>
      <c r="E133" s="20">
        <f t="shared" si="6"/>
        <v>195000</v>
      </c>
      <c r="F133" s="20">
        <f t="shared" si="7"/>
        <v>215000</v>
      </c>
      <c r="G133" s="20">
        <f t="shared" si="8"/>
        <v>236000</v>
      </c>
      <c r="H133" s="20">
        <f t="shared" si="9"/>
        <v>260000</v>
      </c>
    </row>
    <row r="134" spans="1:8">
      <c r="A134" s="274">
        <v>130</v>
      </c>
      <c r="B134" s="222" t="s">
        <v>1695</v>
      </c>
      <c r="C134" s="273">
        <v>253344.30000000002</v>
      </c>
      <c r="D134" s="20">
        <f t="shared" ref="D134:D197" si="10">ROUNDUP(C134,-3)</f>
        <v>254000</v>
      </c>
      <c r="E134" s="20">
        <f t="shared" ref="E134:E197" si="11">ROUNDUP($C134*1.1,-3)</f>
        <v>279000</v>
      </c>
      <c r="F134" s="20">
        <f t="shared" ref="F134:F197" si="12">ROUNDUP($C134*1.1*1.1,-3)</f>
        <v>307000</v>
      </c>
      <c r="G134" s="20">
        <f t="shared" ref="G134:G197" si="13">ROUNDUP($C134*1.1*1.1*1.1,-3)</f>
        <v>338000</v>
      </c>
      <c r="H134" s="20">
        <f t="shared" ref="H134:H197" si="14">ROUNDUP($C134*1.1*1.1*1.1*1.1,-3)</f>
        <v>371000</v>
      </c>
    </row>
    <row r="135" spans="1:8">
      <c r="A135" s="274">
        <v>131</v>
      </c>
      <c r="B135" s="222" t="s">
        <v>1696</v>
      </c>
      <c r="C135" s="272">
        <v>176962.5</v>
      </c>
      <c r="D135" s="20">
        <f t="shared" si="10"/>
        <v>177000</v>
      </c>
      <c r="E135" s="20">
        <f t="shared" si="11"/>
        <v>195000</v>
      </c>
      <c r="F135" s="20">
        <f t="shared" si="12"/>
        <v>215000</v>
      </c>
      <c r="G135" s="20">
        <f t="shared" si="13"/>
        <v>236000</v>
      </c>
      <c r="H135" s="20">
        <f t="shared" si="14"/>
        <v>260000</v>
      </c>
    </row>
    <row r="136" spans="1:8">
      <c r="A136" s="274">
        <v>132</v>
      </c>
      <c r="B136" s="222" t="s">
        <v>1697</v>
      </c>
      <c r="C136" s="273">
        <v>1375000</v>
      </c>
      <c r="D136" s="20">
        <f t="shared" si="10"/>
        <v>1375000</v>
      </c>
      <c r="E136" s="20">
        <f t="shared" si="11"/>
        <v>1513000</v>
      </c>
      <c r="F136" s="20">
        <f t="shared" si="12"/>
        <v>1664000</v>
      </c>
      <c r="G136" s="20">
        <f t="shared" si="13"/>
        <v>1831000</v>
      </c>
      <c r="H136" s="20">
        <f t="shared" si="14"/>
        <v>2014000</v>
      </c>
    </row>
    <row r="137" spans="1:8">
      <c r="A137" s="274">
        <v>133</v>
      </c>
      <c r="B137" s="222" t="s">
        <v>1698</v>
      </c>
      <c r="C137" s="272">
        <v>168644.30000000002</v>
      </c>
      <c r="D137" s="20">
        <f t="shared" si="10"/>
        <v>169000</v>
      </c>
      <c r="E137" s="20">
        <f t="shared" si="11"/>
        <v>186000</v>
      </c>
      <c r="F137" s="20">
        <f t="shared" si="12"/>
        <v>205000</v>
      </c>
      <c r="G137" s="20">
        <f t="shared" si="13"/>
        <v>225000</v>
      </c>
      <c r="H137" s="20">
        <f t="shared" si="14"/>
        <v>247000</v>
      </c>
    </row>
    <row r="138" spans="1:8">
      <c r="A138" s="274">
        <v>134</v>
      </c>
      <c r="B138" s="222" t="s">
        <v>1699</v>
      </c>
      <c r="C138" s="273">
        <v>64281.8</v>
      </c>
      <c r="D138" s="20">
        <f t="shared" si="10"/>
        <v>65000</v>
      </c>
      <c r="E138" s="20">
        <f t="shared" si="11"/>
        <v>71000</v>
      </c>
      <c r="F138" s="20">
        <f t="shared" si="12"/>
        <v>78000</v>
      </c>
      <c r="G138" s="20">
        <f t="shared" si="13"/>
        <v>86000</v>
      </c>
      <c r="H138" s="20">
        <f t="shared" si="14"/>
        <v>95000</v>
      </c>
    </row>
    <row r="139" spans="1:8">
      <c r="A139" s="274">
        <v>135</v>
      </c>
      <c r="B139" s="222" t="s">
        <v>1700</v>
      </c>
      <c r="C139" s="272">
        <v>190575.00000000003</v>
      </c>
      <c r="D139" s="20">
        <f t="shared" si="10"/>
        <v>191000</v>
      </c>
      <c r="E139" s="20">
        <f t="shared" si="11"/>
        <v>210000</v>
      </c>
      <c r="F139" s="20">
        <f t="shared" si="12"/>
        <v>231000</v>
      </c>
      <c r="G139" s="20">
        <f t="shared" si="13"/>
        <v>254000</v>
      </c>
      <c r="H139" s="20">
        <f t="shared" si="14"/>
        <v>280000</v>
      </c>
    </row>
    <row r="140" spans="1:8">
      <c r="A140" s="274">
        <v>136</v>
      </c>
      <c r="B140" s="222" t="s">
        <v>1701</v>
      </c>
      <c r="C140" s="273">
        <v>127050.00000000001</v>
      </c>
      <c r="D140" s="20">
        <f t="shared" si="10"/>
        <v>128000</v>
      </c>
      <c r="E140" s="20">
        <f t="shared" si="11"/>
        <v>140000</v>
      </c>
      <c r="F140" s="20">
        <f t="shared" si="12"/>
        <v>154000</v>
      </c>
      <c r="G140" s="20">
        <f t="shared" si="13"/>
        <v>170000</v>
      </c>
      <c r="H140" s="20">
        <f t="shared" si="14"/>
        <v>187000</v>
      </c>
    </row>
    <row r="141" spans="1:8">
      <c r="A141" s="274">
        <v>137</v>
      </c>
      <c r="B141" s="222" t="s">
        <v>1702</v>
      </c>
      <c r="C141" s="272">
        <v>253344.30000000002</v>
      </c>
      <c r="D141" s="20">
        <f t="shared" si="10"/>
        <v>254000</v>
      </c>
      <c r="E141" s="20">
        <f t="shared" si="11"/>
        <v>279000</v>
      </c>
      <c r="F141" s="20">
        <f t="shared" si="12"/>
        <v>307000</v>
      </c>
      <c r="G141" s="20">
        <f t="shared" si="13"/>
        <v>338000</v>
      </c>
      <c r="H141" s="20">
        <f t="shared" si="14"/>
        <v>371000</v>
      </c>
    </row>
    <row r="142" spans="1:8">
      <c r="A142" s="274">
        <v>138</v>
      </c>
      <c r="B142" s="222" t="s">
        <v>1703</v>
      </c>
      <c r="C142" s="273">
        <v>1014131.8</v>
      </c>
      <c r="D142" s="20">
        <f t="shared" si="10"/>
        <v>1015000</v>
      </c>
      <c r="E142" s="20">
        <f t="shared" si="11"/>
        <v>1116000</v>
      </c>
      <c r="F142" s="20">
        <f t="shared" si="12"/>
        <v>1228000</v>
      </c>
      <c r="G142" s="20">
        <f t="shared" si="13"/>
        <v>1350000</v>
      </c>
      <c r="H142" s="20">
        <f t="shared" si="14"/>
        <v>1485000</v>
      </c>
    </row>
    <row r="143" spans="1:8">
      <c r="A143" s="274">
        <v>139</v>
      </c>
      <c r="B143" s="222" t="s">
        <v>1704</v>
      </c>
      <c r="C143" s="272">
        <v>50669.3</v>
      </c>
      <c r="D143" s="20">
        <f t="shared" si="10"/>
        <v>51000</v>
      </c>
      <c r="E143" s="20">
        <f t="shared" si="11"/>
        <v>56000</v>
      </c>
      <c r="F143" s="20">
        <f t="shared" si="12"/>
        <v>62000</v>
      </c>
      <c r="G143" s="20">
        <f t="shared" si="13"/>
        <v>68000</v>
      </c>
      <c r="H143" s="20">
        <f t="shared" si="14"/>
        <v>75000</v>
      </c>
    </row>
    <row r="144" spans="1:8">
      <c r="A144" s="274">
        <v>140</v>
      </c>
      <c r="B144" s="222" t="s">
        <v>1705</v>
      </c>
      <c r="C144" s="273">
        <v>634494.30000000005</v>
      </c>
      <c r="D144" s="20">
        <f t="shared" si="10"/>
        <v>635000</v>
      </c>
      <c r="E144" s="20">
        <f t="shared" si="11"/>
        <v>698000</v>
      </c>
      <c r="F144" s="20">
        <f t="shared" si="12"/>
        <v>768000</v>
      </c>
      <c r="G144" s="20">
        <f t="shared" si="13"/>
        <v>845000</v>
      </c>
      <c r="H144" s="20">
        <f t="shared" si="14"/>
        <v>929000</v>
      </c>
    </row>
    <row r="145" spans="1:8">
      <c r="A145" s="274">
        <v>141</v>
      </c>
      <c r="B145" s="222" t="s">
        <v>1706</v>
      </c>
      <c r="C145" s="272">
        <v>253344.30000000002</v>
      </c>
      <c r="D145" s="20">
        <f t="shared" si="10"/>
        <v>254000</v>
      </c>
      <c r="E145" s="20">
        <f t="shared" si="11"/>
        <v>279000</v>
      </c>
      <c r="F145" s="20">
        <f t="shared" si="12"/>
        <v>307000</v>
      </c>
      <c r="G145" s="20">
        <f t="shared" si="13"/>
        <v>338000</v>
      </c>
      <c r="H145" s="20">
        <f t="shared" si="14"/>
        <v>371000</v>
      </c>
    </row>
    <row r="146" spans="1:8">
      <c r="A146" s="274">
        <v>142</v>
      </c>
      <c r="B146" s="222" t="s">
        <v>1707</v>
      </c>
      <c r="C146" s="273">
        <v>634495.4</v>
      </c>
      <c r="D146" s="20">
        <f t="shared" si="10"/>
        <v>635000</v>
      </c>
      <c r="E146" s="20">
        <f t="shared" si="11"/>
        <v>698000</v>
      </c>
      <c r="F146" s="20">
        <f t="shared" si="12"/>
        <v>768000</v>
      </c>
      <c r="G146" s="20">
        <f t="shared" si="13"/>
        <v>845000</v>
      </c>
      <c r="H146" s="20">
        <f t="shared" si="14"/>
        <v>929000</v>
      </c>
    </row>
    <row r="147" spans="1:8">
      <c r="A147" s="274">
        <v>143</v>
      </c>
      <c r="B147" s="222" t="s">
        <v>1708</v>
      </c>
      <c r="C147" s="272">
        <v>634494.30000000005</v>
      </c>
      <c r="D147" s="20">
        <f t="shared" si="10"/>
        <v>635000</v>
      </c>
      <c r="E147" s="20">
        <f t="shared" si="11"/>
        <v>698000</v>
      </c>
      <c r="F147" s="20">
        <f t="shared" si="12"/>
        <v>768000</v>
      </c>
      <c r="G147" s="20">
        <f t="shared" si="13"/>
        <v>845000</v>
      </c>
      <c r="H147" s="20">
        <f t="shared" si="14"/>
        <v>929000</v>
      </c>
    </row>
    <row r="148" spans="1:8">
      <c r="A148" s="274">
        <v>144</v>
      </c>
      <c r="B148" s="222" t="s">
        <v>1709</v>
      </c>
      <c r="C148" s="273">
        <v>124784.00000000001</v>
      </c>
      <c r="D148" s="20">
        <f t="shared" si="10"/>
        <v>125000</v>
      </c>
      <c r="E148" s="20">
        <f t="shared" si="11"/>
        <v>138000</v>
      </c>
      <c r="F148" s="20">
        <f t="shared" si="12"/>
        <v>151000</v>
      </c>
      <c r="G148" s="20">
        <f t="shared" si="13"/>
        <v>167000</v>
      </c>
      <c r="H148" s="20">
        <f t="shared" si="14"/>
        <v>183000</v>
      </c>
    </row>
    <row r="149" spans="1:8">
      <c r="A149" s="274">
        <v>145</v>
      </c>
      <c r="B149" s="222" t="s">
        <v>1710</v>
      </c>
      <c r="C149" s="272">
        <v>124781.8</v>
      </c>
      <c r="D149" s="20">
        <f t="shared" si="10"/>
        <v>125000</v>
      </c>
      <c r="E149" s="20">
        <f t="shared" si="11"/>
        <v>138000</v>
      </c>
      <c r="F149" s="20">
        <f t="shared" si="12"/>
        <v>151000</v>
      </c>
      <c r="G149" s="20">
        <f t="shared" si="13"/>
        <v>167000</v>
      </c>
      <c r="H149" s="20">
        <f t="shared" si="14"/>
        <v>183000</v>
      </c>
    </row>
    <row r="150" spans="1:8">
      <c r="A150" s="274">
        <v>146</v>
      </c>
      <c r="B150" s="222" t="s">
        <v>1711</v>
      </c>
      <c r="C150" s="273">
        <v>1141184</v>
      </c>
      <c r="D150" s="20">
        <f t="shared" si="10"/>
        <v>1142000</v>
      </c>
      <c r="E150" s="20">
        <f t="shared" si="11"/>
        <v>1256000</v>
      </c>
      <c r="F150" s="20">
        <f t="shared" si="12"/>
        <v>1381000</v>
      </c>
      <c r="G150" s="20">
        <f t="shared" si="13"/>
        <v>1519000</v>
      </c>
      <c r="H150" s="20">
        <f t="shared" si="14"/>
        <v>1671000</v>
      </c>
    </row>
    <row r="151" spans="1:8">
      <c r="A151" s="274">
        <v>147</v>
      </c>
      <c r="B151" s="222" t="s">
        <v>1712</v>
      </c>
      <c r="C151" s="272">
        <v>1141181.8</v>
      </c>
      <c r="D151" s="20">
        <f t="shared" si="10"/>
        <v>1142000</v>
      </c>
      <c r="E151" s="20">
        <f t="shared" si="11"/>
        <v>1256000</v>
      </c>
      <c r="F151" s="20">
        <f t="shared" si="12"/>
        <v>1381000</v>
      </c>
      <c r="G151" s="20">
        <f t="shared" si="13"/>
        <v>1519000</v>
      </c>
      <c r="H151" s="20">
        <f t="shared" si="14"/>
        <v>1671000</v>
      </c>
    </row>
    <row r="152" spans="1:8">
      <c r="A152" s="274">
        <v>148</v>
      </c>
      <c r="B152" s="222" t="s">
        <v>1713</v>
      </c>
      <c r="C152" s="273">
        <v>279059</v>
      </c>
      <c r="D152" s="20">
        <f t="shared" si="10"/>
        <v>280000</v>
      </c>
      <c r="E152" s="20">
        <f t="shared" si="11"/>
        <v>307000</v>
      </c>
      <c r="F152" s="20">
        <f t="shared" si="12"/>
        <v>338000</v>
      </c>
      <c r="G152" s="20">
        <f t="shared" si="13"/>
        <v>372000</v>
      </c>
      <c r="H152" s="20">
        <f t="shared" si="14"/>
        <v>409000</v>
      </c>
    </row>
    <row r="153" spans="1:8">
      <c r="A153" s="274">
        <v>149</v>
      </c>
      <c r="B153" s="222" t="s">
        <v>1714</v>
      </c>
      <c r="C153" s="272">
        <v>279056.80000000005</v>
      </c>
      <c r="D153" s="20">
        <f t="shared" si="10"/>
        <v>280000</v>
      </c>
      <c r="E153" s="20">
        <f t="shared" si="11"/>
        <v>307000</v>
      </c>
      <c r="F153" s="20">
        <f t="shared" si="12"/>
        <v>338000</v>
      </c>
      <c r="G153" s="20">
        <f t="shared" si="13"/>
        <v>372000</v>
      </c>
      <c r="H153" s="20">
        <f t="shared" si="14"/>
        <v>409000</v>
      </c>
    </row>
    <row r="154" spans="1:8">
      <c r="A154" s="274">
        <v>150</v>
      </c>
      <c r="B154" s="222" t="s">
        <v>1715</v>
      </c>
      <c r="C154" s="273">
        <v>335170</v>
      </c>
      <c r="D154" s="20">
        <f t="shared" si="10"/>
        <v>336000</v>
      </c>
      <c r="E154" s="20">
        <f t="shared" si="11"/>
        <v>369000</v>
      </c>
      <c r="F154" s="20">
        <f t="shared" si="12"/>
        <v>406000</v>
      </c>
      <c r="G154" s="20">
        <f t="shared" si="13"/>
        <v>447000</v>
      </c>
      <c r="H154" s="20">
        <f t="shared" si="14"/>
        <v>491000</v>
      </c>
    </row>
    <row r="155" spans="1:8">
      <c r="A155" s="274">
        <v>151</v>
      </c>
      <c r="B155" s="222" t="s">
        <v>1716</v>
      </c>
      <c r="C155" s="272">
        <v>335170</v>
      </c>
      <c r="D155" s="20">
        <f t="shared" si="10"/>
        <v>336000</v>
      </c>
      <c r="E155" s="20">
        <f t="shared" si="11"/>
        <v>369000</v>
      </c>
      <c r="F155" s="20">
        <f t="shared" si="12"/>
        <v>406000</v>
      </c>
      <c r="G155" s="20">
        <f t="shared" si="13"/>
        <v>447000</v>
      </c>
      <c r="H155" s="20">
        <f t="shared" si="14"/>
        <v>491000</v>
      </c>
    </row>
    <row r="156" spans="1:8">
      <c r="A156" s="274">
        <v>152</v>
      </c>
      <c r="B156" s="222" t="s">
        <v>1717</v>
      </c>
      <c r="C156" s="273">
        <v>419870.00000000006</v>
      </c>
      <c r="D156" s="20">
        <f t="shared" si="10"/>
        <v>420000</v>
      </c>
      <c r="E156" s="20">
        <f t="shared" si="11"/>
        <v>462000</v>
      </c>
      <c r="F156" s="20">
        <f t="shared" si="12"/>
        <v>509000</v>
      </c>
      <c r="G156" s="20">
        <f t="shared" si="13"/>
        <v>559000</v>
      </c>
      <c r="H156" s="20">
        <f t="shared" si="14"/>
        <v>615000</v>
      </c>
    </row>
    <row r="157" spans="1:8">
      <c r="A157" s="274">
        <v>153</v>
      </c>
      <c r="B157" s="222" t="s">
        <v>1718</v>
      </c>
      <c r="C157" s="272">
        <v>419870.00000000006</v>
      </c>
      <c r="D157" s="20">
        <f t="shared" si="10"/>
        <v>420000</v>
      </c>
      <c r="E157" s="20">
        <f t="shared" si="11"/>
        <v>462000</v>
      </c>
      <c r="F157" s="20">
        <f t="shared" si="12"/>
        <v>509000</v>
      </c>
      <c r="G157" s="20">
        <f t="shared" si="13"/>
        <v>559000</v>
      </c>
      <c r="H157" s="20">
        <f t="shared" si="14"/>
        <v>615000</v>
      </c>
    </row>
    <row r="158" spans="1:8">
      <c r="A158" s="274">
        <v>154</v>
      </c>
      <c r="B158" s="222" t="s">
        <v>1719</v>
      </c>
      <c r="C158" s="273">
        <v>507445.4</v>
      </c>
      <c r="D158" s="20">
        <f t="shared" si="10"/>
        <v>508000</v>
      </c>
      <c r="E158" s="20">
        <f t="shared" si="11"/>
        <v>559000</v>
      </c>
      <c r="F158" s="20">
        <f t="shared" si="12"/>
        <v>615000</v>
      </c>
      <c r="G158" s="20">
        <f t="shared" si="13"/>
        <v>676000</v>
      </c>
      <c r="H158" s="20">
        <f t="shared" si="14"/>
        <v>743000</v>
      </c>
    </row>
    <row r="159" spans="1:8">
      <c r="A159" s="274">
        <v>155</v>
      </c>
      <c r="B159" s="222" t="s">
        <v>1720</v>
      </c>
      <c r="C159" s="272">
        <v>507444.30000000005</v>
      </c>
      <c r="D159" s="20">
        <f t="shared" si="10"/>
        <v>508000</v>
      </c>
      <c r="E159" s="20">
        <f t="shared" si="11"/>
        <v>559000</v>
      </c>
      <c r="F159" s="20">
        <f t="shared" si="12"/>
        <v>615000</v>
      </c>
      <c r="G159" s="20">
        <f t="shared" si="13"/>
        <v>676000</v>
      </c>
      <c r="H159" s="20">
        <f t="shared" si="14"/>
        <v>743000</v>
      </c>
    </row>
    <row r="160" spans="1:8">
      <c r="A160" s="274">
        <v>156</v>
      </c>
      <c r="B160" s="222" t="s">
        <v>1721</v>
      </c>
      <c r="C160" s="273">
        <v>634495.4</v>
      </c>
      <c r="D160" s="20">
        <f t="shared" si="10"/>
        <v>635000</v>
      </c>
      <c r="E160" s="20">
        <f t="shared" si="11"/>
        <v>698000</v>
      </c>
      <c r="F160" s="20">
        <f t="shared" si="12"/>
        <v>768000</v>
      </c>
      <c r="G160" s="20">
        <f t="shared" si="13"/>
        <v>845000</v>
      </c>
      <c r="H160" s="20">
        <f t="shared" si="14"/>
        <v>929000</v>
      </c>
    </row>
    <row r="161" spans="1:8">
      <c r="A161" s="274">
        <v>157</v>
      </c>
      <c r="B161" s="222" t="s">
        <v>1722</v>
      </c>
      <c r="C161" s="272">
        <v>634494.30000000005</v>
      </c>
      <c r="D161" s="20">
        <f t="shared" si="10"/>
        <v>635000</v>
      </c>
      <c r="E161" s="20">
        <f t="shared" si="11"/>
        <v>698000</v>
      </c>
      <c r="F161" s="20">
        <f t="shared" si="12"/>
        <v>768000</v>
      </c>
      <c r="G161" s="20">
        <f t="shared" si="13"/>
        <v>845000</v>
      </c>
      <c r="H161" s="20">
        <f t="shared" si="14"/>
        <v>929000</v>
      </c>
    </row>
    <row r="162" spans="1:8">
      <c r="A162" s="274">
        <v>158</v>
      </c>
      <c r="B162" s="222" t="s">
        <v>1723</v>
      </c>
      <c r="C162" s="273">
        <v>196625.00000000003</v>
      </c>
      <c r="D162" s="20">
        <f t="shared" si="10"/>
        <v>197000</v>
      </c>
      <c r="E162" s="20">
        <f t="shared" si="11"/>
        <v>217000</v>
      </c>
      <c r="F162" s="20">
        <f t="shared" si="12"/>
        <v>238000</v>
      </c>
      <c r="G162" s="20">
        <f t="shared" si="13"/>
        <v>262000</v>
      </c>
      <c r="H162" s="20">
        <f t="shared" si="14"/>
        <v>288000</v>
      </c>
    </row>
    <row r="163" spans="1:8">
      <c r="A163" s="274">
        <v>159</v>
      </c>
      <c r="B163" s="222" t="s">
        <v>1724</v>
      </c>
      <c r="C163" s="272">
        <v>196625.00000000003</v>
      </c>
      <c r="D163" s="20">
        <f t="shared" si="10"/>
        <v>197000</v>
      </c>
      <c r="E163" s="20">
        <f t="shared" si="11"/>
        <v>217000</v>
      </c>
      <c r="F163" s="20">
        <f t="shared" si="12"/>
        <v>238000</v>
      </c>
      <c r="G163" s="20">
        <f t="shared" si="13"/>
        <v>262000</v>
      </c>
      <c r="H163" s="20">
        <f t="shared" si="14"/>
        <v>288000</v>
      </c>
    </row>
    <row r="164" spans="1:8">
      <c r="A164" s="274">
        <v>160</v>
      </c>
      <c r="B164" s="222" t="s">
        <v>1725</v>
      </c>
      <c r="C164" s="273">
        <v>888140.00000000012</v>
      </c>
      <c r="D164" s="20">
        <f t="shared" si="10"/>
        <v>889000</v>
      </c>
      <c r="E164" s="20">
        <f t="shared" si="11"/>
        <v>977000</v>
      </c>
      <c r="F164" s="20">
        <f t="shared" si="12"/>
        <v>1075000</v>
      </c>
      <c r="G164" s="20">
        <f t="shared" si="13"/>
        <v>1183000</v>
      </c>
      <c r="H164" s="20">
        <f t="shared" si="14"/>
        <v>1301000</v>
      </c>
    </row>
    <row r="165" spans="1:8">
      <c r="A165" s="274">
        <v>161</v>
      </c>
      <c r="B165" s="222" t="s">
        <v>1726</v>
      </c>
      <c r="C165" s="272">
        <v>888140.00000000012</v>
      </c>
      <c r="D165" s="20">
        <f t="shared" si="10"/>
        <v>889000</v>
      </c>
      <c r="E165" s="20">
        <f t="shared" si="11"/>
        <v>977000</v>
      </c>
      <c r="F165" s="20">
        <f t="shared" si="12"/>
        <v>1075000</v>
      </c>
      <c r="G165" s="20">
        <f t="shared" si="13"/>
        <v>1183000</v>
      </c>
      <c r="H165" s="20">
        <f t="shared" si="14"/>
        <v>1301000</v>
      </c>
    </row>
    <row r="166" spans="1:8">
      <c r="A166" s="274">
        <v>162</v>
      </c>
      <c r="B166" s="222" t="s">
        <v>1727</v>
      </c>
      <c r="C166" s="273">
        <v>550000</v>
      </c>
      <c r="D166" s="20">
        <f t="shared" si="10"/>
        <v>550000</v>
      </c>
      <c r="E166" s="20">
        <f t="shared" si="11"/>
        <v>605000</v>
      </c>
      <c r="F166" s="20">
        <f t="shared" si="12"/>
        <v>666000</v>
      </c>
      <c r="G166" s="20">
        <f t="shared" si="13"/>
        <v>733000</v>
      </c>
      <c r="H166" s="20">
        <f t="shared" si="14"/>
        <v>806000</v>
      </c>
    </row>
    <row r="167" spans="1:8">
      <c r="A167" s="274">
        <v>163</v>
      </c>
      <c r="B167" s="222" t="s">
        <v>1728</v>
      </c>
      <c r="C167" s="272">
        <v>291500</v>
      </c>
      <c r="D167" s="20">
        <f t="shared" si="10"/>
        <v>292000</v>
      </c>
      <c r="E167" s="20">
        <f t="shared" si="11"/>
        <v>321000</v>
      </c>
      <c r="F167" s="20">
        <f t="shared" si="12"/>
        <v>353000</v>
      </c>
      <c r="G167" s="20">
        <f t="shared" si="13"/>
        <v>388000</v>
      </c>
      <c r="H167" s="20">
        <f t="shared" si="14"/>
        <v>427000</v>
      </c>
    </row>
    <row r="168" spans="1:8">
      <c r="A168" s="274">
        <v>164</v>
      </c>
      <c r="B168" s="222" t="s">
        <v>1729</v>
      </c>
      <c r="C168" s="273">
        <v>79406.8</v>
      </c>
      <c r="D168" s="20">
        <f t="shared" si="10"/>
        <v>80000</v>
      </c>
      <c r="E168" s="20">
        <f t="shared" si="11"/>
        <v>88000</v>
      </c>
      <c r="F168" s="20">
        <f t="shared" si="12"/>
        <v>97000</v>
      </c>
      <c r="G168" s="20">
        <f t="shared" si="13"/>
        <v>106000</v>
      </c>
      <c r="H168" s="20">
        <f t="shared" si="14"/>
        <v>117000</v>
      </c>
    </row>
    <row r="169" spans="1:8">
      <c r="A169" s="274">
        <v>165</v>
      </c>
      <c r="B169" s="222" t="s">
        <v>1730</v>
      </c>
      <c r="C169" s="272">
        <v>152763.6</v>
      </c>
      <c r="D169" s="20">
        <f t="shared" si="10"/>
        <v>153000</v>
      </c>
      <c r="E169" s="20">
        <f t="shared" si="11"/>
        <v>169000</v>
      </c>
      <c r="F169" s="20">
        <f t="shared" si="12"/>
        <v>185000</v>
      </c>
      <c r="G169" s="20">
        <f t="shared" si="13"/>
        <v>204000</v>
      </c>
      <c r="H169" s="20">
        <f t="shared" si="14"/>
        <v>224000</v>
      </c>
    </row>
    <row r="170" spans="1:8">
      <c r="A170" s="274">
        <v>166</v>
      </c>
      <c r="B170" s="222" t="s">
        <v>1731</v>
      </c>
      <c r="C170" s="273">
        <v>152762.5</v>
      </c>
      <c r="D170" s="20">
        <f t="shared" si="10"/>
        <v>153000</v>
      </c>
      <c r="E170" s="20">
        <f t="shared" si="11"/>
        <v>169000</v>
      </c>
      <c r="F170" s="20">
        <f t="shared" si="12"/>
        <v>185000</v>
      </c>
      <c r="G170" s="20">
        <f t="shared" si="13"/>
        <v>204000</v>
      </c>
      <c r="H170" s="20">
        <f t="shared" si="14"/>
        <v>224000</v>
      </c>
    </row>
    <row r="171" spans="1:8">
      <c r="A171" s="274">
        <v>167</v>
      </c>
      <c r="B171" s="222" t="s">
        <v>1732</v>
      </c>
      <c r="C171" s="272">
        <v>152763.6</v>
      </c>
      <c r="D171" s="20">
        <f t="shared" si="10"/>
        <v>153000</v>
      </c>
      <c r="E171" s="20">
        <f t="shared" si="11"/>
        <v>169000</v>
      </c>
      <c r="F171" s="20">
        <f t="shared" si="12"/>
        <v>185000</v>
      </c>
      <c r="G171" s="20">
        <f t="shared" si="13"/>
        <v>204000</v>
      </c>
      <c r="H171" s="20">
        <f t="shared" si="14"/>
        <v>224000</v>
      </c>
    </row>
    <row r="172" spans="1:8">
      <c r="A172" s="274">
        <v>168</v>
      </c>
      <c r="B172" s="222" t="s">
        <v>1733</v>
      </c>
      <c r="C172" s="273">
        <v>152762.5</v>
      </c>
      <c r="D172" s="20">
        <f t="shared" si="10"/>
        <v>153000</v>
      </c>
      <c r="E172" s="20">
        <f t="shared" si="11"/>
        <v>169000</v>
      </c>
      <c r="F172" s="20">
        <f t="shared" si="12"/>
        <v>185000</v>
      </c>
      <c r="G172" s="20">
        <f t="shared" si="13"/>
        <v>204000</v>
      </c>
      <c r="H172" s="20">
        <f t="shared" si="14"/>
        <v>224000</v>
      </c>
    </row>
    <row r="173" spans="1:8">
      <c r="A173" s="274">
        <v>169</v>
      </c>
      <c r="B173" s="222" t="s">
        <v>1734</v>
      </c>
      <c r="C173" s="272">
        <v>507444.30000000005</v>
      </c>
      <c r="D173" s="20">
        <f t="shared" si="10"/>
        <v>508000</v>
      </c>
      <c r="E173" s="20">
        <f t="shared" si="11"/>
        <v>559000</v>
      </c>
      <c r="F173" s="20">
        <f t="shared" si="12"/>
        <v>615000</v>
      </c>
      <c r="G173" s="20">
        <f t="shared" si="13"/>
        <v>676000</v>
      </c>
      <c r="H173" s="20">
        <f t="shared" si="14"/>
        <v>743000</v>
      </c>
    </row>
    <row r="174" spans="1:8">
      <c r="A174" s="274">
        <v>170</v>
      </c>
      <c r="B174" s="222" t="s">
        <v>1735</v>
      </c>
      <c r="C174" s="273">
        <v>304769.30000000005</v>
      </c>
      <c r="D174" s="20">
        <f t="shared" si="10"/>
        <v>305000</v>
      </c>
      <c r="E174" s="20">
        <f t="shared" si="11"/>
        <v>336000</v>
      </c>
      <c r="F174" s="20">
        <f t="shared" si="12"/>
        <v>369000</v>
      </c>
      <c r="G174" s="20">
        <f t="shared" si="13"/>
        <v>406000</v>
      </c>
      <c r="H174" s="20">
        <f t="shared" si="14"/>
        <v>447000</v>
      </c>
    </row>
    <row r="175" spans="1:8">
      <c r="A175" s="274">
        <v>171</v>
      </c>
      <c r="B175" s="222" t="s">
        <v>1736</v>
      </c>
      <c r="C175" s="272">
        <v>1014131.8</v>
      </c>
      <c r="D175" s="20">
        <f t="shared" si="10"/>
        <v>1015000</v>
      </c>
      <c r="E175" s="20">
        <f t="shared" si="11"/>
        <v>1116000</v>
      </c>
      <c r="F175" s="20">
        <f t="shared" si="12"/>
        <v>1228000</v>
      </c>
      <c r="G175" s="20">
        <f t="shared" si="13"/>
        <v>1350000</v>
      </c>
      <c r="H175" s="20">
        <f t="shared" si="14"/>
        <v>1485000</v>
      </c>
    </row>
    <row r="176" spans="1:8">
      <c r="A176" s="274">
        <v>172</v>
      </c>
      <c r="B176" s="222" t="s">
        <v>1737</v>
      </c>
      <c r="C176" s="273">
        <v>507444.30000000005</v>
      </c>
      <c r="D176" s="20">
        <f t="shared" si="10"/>
        <v>508000</v>
      </c>
      <c r="E176" s="20">
        <f t="shared" si="11"/>
        <v>559000</v>
      </c>
      <c r="F176" s="20">
        <f t="shared" si="12"/>
        <v>615000</v>
      </c>
      <c r="G176" s="20">
        <f t="shared" si="13"/>
        <v>676000</v>
      </c>
      <c r="H176" s="20">
        <f t="shared" si="14"/>
        <v>743000</v>
      </c>
    </row>
    <row r="177" spans="1:8">
      <c r="A177" s="274">
        <v>173</v>
      </c>
      <c r="B177" s="222" t="s">
        <v>1738</v>
      </c>
      <c r="C177" s="272">
        <v>634494.30000000005</v>
      </c>
      <c r="D177" s="20">
        <f t="shared" si="10"/>
        <v>635000</v>
      </c>
      <c r="E177" s="20">
        <f t="shared" si="11"/>
        <v>698000</v>
      </c>
      <c r="F177" s="20">
        <f t="shared" si="12"/>
        <v>768000</v>
      </c>
      <c r="G177" s="20">
        <f t="shared" si="13"/>
        <v>845000</v>
      </c>
      <c r="H177" s="20">
        <f t="shared" si="14"/>
        <v>929000</v>
      </c>
    </row>
    <row r="178" spans="1:8">
      <c r="A178" s="274">
        <v>174</v>
      </c>
      <c r="B178" s="222" t="s">
        <v>1739</v>
      </c>
      <c r="C178" s="273">
        <v>760787.50000000012</v>
      </c>
      <c r="D178" s="20">
        <f t="shared" si="10"/>
        <v>761000</v>
      </c>
      <c r="E178" s="20">
        <f t="shared" si="11"/>
        <v>837000</v>
      </c>
      <c r="F178" s="20">
        <f t="shared" si="12"/>
        <v>921000</v>
      </c>
      <c r="G178" s="20">
        <f t="shared" si="13"/>
        <v>1013000</v>
      </c>
      <c r="H178" s="20">
        <f t="shared" si="14"/>
        <v>1114000</v>
      </c>
    </row>
    <row r="179" spans="1:8">
      <c r="A179" s="274">
        <v>175</v>
      </c>
      <c r="B179" s="222" t="s">
        <v>1740</v>
      </c>
      <c r="C179" s="272">
        <v>76381.8</v>
      </c>
      <c r="D179" s="20">
        <f t="shared" si="10"/>
        <v>77000</v>
      </c>
      <c r="E179" s="20">
        <f t="shared" si="11"/>
        <v>85000</v>
      </c>
      <c r="F179" s="20">
        <f t="shared" si="12"/>
        <v>93000</v>
      </c>
      <c r="G179" s="20">
        <f t="shared" si="13"/>
        <v>102000</v>
      </c>
      <c r="H179" s="20">
        <f t="shared" si="14"/>
        <v>112000</v>
      </c>
    </row>
    <row r="180" spans="1:8">
      <c r="A180" s="274">
        <v>176</v>
      </c>
      <c r="B180" s="222" t="s">
        <v>1741</v>
      </c>
      <c r="C180" s="273">
        <v>39325</v>
      </c>
      <c r="D180" s="20">
        <f t="shared" si="10"/>
        <v>40000</v>
      </c>
      <c r="E180" s="20">
        <f t="shared" si="11"/>
        <v>44000</v>
      </c>
      <c r="F180" s="20">
        <f t="shared" si="12"/>
        <v>48000</v>
      </c>
      <c r="G180" s="20">
        <f t="shared" si="13"/>
        <v>53000</v>
      </c>
      <c r="H180" s="20">
        <f t="shared" si="14"/>
        <v>58000</v>
      </c>
    </row>
    <row r="181" spans="1:8">
      <c r="A181" s="274">
        <v>177</v>
      </c>
      <c r="B181" s="222" t="s">
        <v>1742</v>
      </c>
      <c r="C181" s="272">
        <v>440000.00000000006</v>
      </c>
      <c r="D181" s="20">
        <f t="shared" si="10"/>
        <v>440000</v>
      </c>
      <c r="E181" s="20">
        <f t="shared" si="11"/>
        <v>484000</v>
      </c>
      <c r="F181" s="20">
        <f t="shared" si="12"/>
        <v>533000</v>
      </c>
      <c r="G181" s="20">
        <f t="shared" si="13"/>
        <v>586000</v>
      </c>
      <c r="H181" s="20">
        <f t="shared" si="14"/>
        <v>645000</v>
      </c>
    </row>
    <row r="182" spans="1:8">
      <c r="A182" s="274">
        <v>178</v>
      </c>
      <c r="B182" s="222" t="s">
        <v>1743</v>
      </c>
      <c r="C182" s="273">
        <v>101337.50000000001</v>
      </c>
      <c r="D182" s="20">
        <f t="shared" si="10"/>
        <v>102000</v>
      </c>
      <c r="E182" s="20">
        <f t="shared" si="11"/>
        <v>112000</v>
      </c>
      <c r="F182" s="20">
        <f t="shared" si="12"/>
        <v>123000</v>
      </c>
      <c r="G182" s="20">
        <f t="shared" si="13"/>
        <v>135000</v>
      </c>
      <c r="H182" s="20">
        <f t="shared" si="14"/>
        <v>149000</v>
      </c>
    </row>
    <row r="183" spans="1:8">
      <c r="A183" s="274">
        <v>179</v>
      </c>
      <c r="B183" s="222" t="s">
        <v>1744</v>
      </c>
      <c r="C183" s="272">
        <v>253344.30000000002</v>
      </c>
      <c r="D183" s="20">
        <f t="shared" si="10"/>
        <v>254000</v>
      </c>
      <c r="E183" s="20">
        <f t="shared" si="11"/>
        <v>279000</v>
      </c>
      <c r="F183" s="20">
        <f t="shared" si="12"/>
        <v>307000</v>
      </c>
      <c r="G183" s="20">
        <f t="shared" si="13"/>
        <v>338000</v>
      </c>
      <c r="H183" s="20">
        <f t="shared" si="14"/>
        <v>371000</v>
      </c>
    </row>
    <row r="184" spans="1:8">
      <c r="A184" s="274">
        <v>180</v>
      </c>
      <c r="B184" s="222" t="s">
        <v>1745</v>
      </c>
      <c r="C184" s="273">
        <v>39325</v>
      </c>
      <c r="D184" s="20">
        <f t="shared" si="10"/>
        <v>40000</v>
      </c>
      <c r="E184" s="20">
        <f t="shared" si="11"/>
        <v>44000</v>
      </c>
      <c r="F184" s="20">
        <f t="shared" si="12"/>
        <v>48000</v>
      </c>
      <c r="G184" s="20">
        <f t="shared" si="13"/>
        <v>53000</v>
      </c>
      <c r="H184" s="20">
        <f t="shared" si="14"/>
        <v>58000</v>
      </c>
    </row>
    <row r="185" spans="1:8">
      <c r="A185" s="274">
        <v>181</v>
      </c>
      <c r="B185" s="222" t="s">
        <v>1746</v>
      </c>
      <c r="C185" s="272">
        <v>634494.30000000005</v>
      </c>
      <c r="D185" s="20">
        <f t="shared" si="10"/>
        <v>635000</v>
      </c>
      <c r="E185" s="20">
        <f t="shared" si="11"/>
        <v>698000</v>
      </c>
      <c r="F185" s="20">
        <f t="shared" si="12"/>
        <v>768000</v>
      </c>
      <c r="G185" s="20">
        <f t="shared" si="13"/>
        <v>845000</v>
      </c>
      <c r="H185" s="20">
        <f t="shared" si="14"/>
        <v>929000</v>
      </c>
    </row>
    <row r="186" spans="1:8">
      <c r="A186" s="274">
        <v>182</v>
      </c>
      <c r="B186" s="222" t="s">
        <v>1747</v>
      </c>
      <c r="C186" s="273">
        <v>263175</v>
      </c>
      <c r="D186" s="20">
        <f t="shared" si="10"/>
        <v>264000</v>
      </c>
      <c r="E186" s="20">
        <f t="shared" si="11"/>
        <v>290000</v>
      </c>
      <c r="F186" s="20">
        <f t="shared" si="12"/>
        <v>319000</v>
      </c>
      <c r="G186" s="20">
        <f t="shared" si="13"/>
        <v>351000</v>
      </c>
      <c r="H186" s="20">
        <f t="shared" si="14"/>
        <v>386000</v>
      </c>
    </row>
    <row r="187" spans="1:8">
      <c r="A187" s="274">
        <v>183</v>
      </c>
      <c r="B187" s="222" t="s">
        <v>1748</v>
      </c>
      <c r="C187" s="272">
        <v>614831.80000000005</v>
      </c>
      <c r="D187" s="20">
        <f t="shared" si="10"/>
        <v>615000</v>
      </c>
      <c r="E187" s="20">
        <f t="shared" si="11"/>
        <v>677000</v>
      </c>
      <c r="F187" s="20">
        <f t="shared" si="12"/>
        <v>744000</v>
      </c>
      <c r="G187" s="20">
        <f t="shared" si="13"/>
        <v>819000</v>
      </c>
      <c r="H187" s="20">
        <f t="shared" si="14"/>
        <v>901000</v>
      </c>
    </row>
    <row r="188" spans="1:8">
      <c r="A188" s="274">
        <v>184</v>
      </c>
      <c r="B188" s="222" t="s">
        <v>1749</v>
      </c>
      <c r="C188" s="273">
        <v>299475</v>
      </c>
      <c r="D188" s="20">
        <f t="shared" si="10"/>
        <v>300000</v>
      </c>
      <c r="E188" s="20">
        <f t="shared" si="11"/>
        <v>330000</v>
      </c>
      <c r="F188" s="20">
        <f t="shared" si="12"/>
        <v>363000</v>
      </c>
      <c r="G188" s="20">
        <f t="shared" si="13"/>
        <v>399000</v>
      </c>
      <c r="H188" s="20">
        <f t="shared" si="14"/>
        <v>439000</v>
      </c>
    </row>
    <row r="189" spans="1:8">
      <c r="A189" s="274">
        <v>185</v>
      </c>
      <c r="B189" s="222" t="s">
        <v>1750</v>
      </c>
      <c r="C189" s="272">
        <v>202675.00000000003</v>
      </c>
      <c r="D189" s="20">
        <f t="shared" si="10"/>
        <v>203000</v>
      </c>
      <c r="E189" s="20">
        <f t="shared" si="11"/>
        <v>223000</v>
      </c>
      <c r="F189" s="20">
        <f t="shared" si="12"/>
        <v>246000</v>
      </c>
      <c r="G189" s="20">
        <f t="shared" si="13"/>
        <v>270000</v>
      </c>
      <c r="H189" s="20">
        <f t="shared" si="14"/>
        <v>297000</v>
      </c>
    </row>
    <row r="190" spans="1:8">
      <c r="A190" s="274">
        <v>186</v>
      </c>
      <c r="B190" s="222" t="s">
        <v>1751</v>
      </c>
      <c r="C190" s="273">
        <v>253344.30000000002</v>
      </c>
      <c r="D190" s="20">
        <f t="shared" si="10"/>
        <v>254000</v>
      </c>
      <c r="E190" s="20">
        <f t="shared" si="11"/>
        <v>279000</v>
      </c>
      <c r="F190" s="20">
        <f t="shared" si="12"/>
        <v>307000</v>
      </c>
      <c r="G190" s="20">
        <f t="shared" si="13"/>
        <v>338000</v>
      </c>
      <c r="H190" s="20">
        <f t="shared" si="14"/>
        <v>371000</v>
      </c>
    </row>
    <row r="191" spans="1:8">
      <c r="A191" s="274">
        <v>187</v>
      </c>
      <c r="B191" s="222" t="s">
        <v>1752</v>
      </c>
      <c r="C191" s="272">
        <v>304769.30000000005</v>
      </c>
      <c r="D191" s="20">
        <f t="shared" si="10"/>
        <v>305000</v>
      </c>
      <c r="E191" s="20">
        <f t="shared" si="11"/>
        <v>336000</v>
      </c>
      <c r="F191" s="20">
        <f t="shared" si="12"/>
        <v>369000</v>
      </c>
      <c r="G191" s="20">
        <f t="shared" si="13"/>
        <v>406000</v>
      </c>
      <c r="H191" s="20">
        <f t="shared" si="14"/>
        <v>447000</v>
      </c>
    </row>
    <row r="192" spans="1:8">
      <c r="A192" s="274">
        <v>188</v>
      </c>
      <c r="B192" s="222" t="s">
        <v>1753</v>
      </c>
      <c r="C192" s="273">
        <v>355437.5</v>
      </c>
      <c r="D192" s="20">
        <f t="shared" si="10"/>
        <v>356000</v>
      </c>
      <c r="E192" s="20">
        <f t="shared" si="11"/>
        <v>391000</v>
      </c>
      <c r="F192" s="20">
        <f t="shared" si="12"/>
        <v>431000</v>
      </c>
      <c r="G192" s="20">
        <f t="shared" si="13"/>
        <v>474000</v>
      </c>
      <c r="H192" s="20">
        <f t="shared" si="14"/>
        <v>521000</v>
      </c>
    </row>
    <row r="193" spans="1:8">
      <c r="A193" s="274">
        <v>189</v>
      </c>
      <c r="B193" s="222" t="s">
        <v>1754</v>
      </c>
      <c r="C193" s="272">
        <v>406106.80000000005</v>
      </c>
      <c r="D193" s="20">
        <f t="shared" si="10"/>
        <v>407000</v>
      </c>
      <c r="E193" s="20">
        <f t="shared" si="11"/>
        <v>447000</v>
      </c>
      <c r="F193" s="20">
        <f t="shared" si="12"/>
        <v>492000</v>
      </c>
      <c r="G193" s="20">
        <f t="shared" si="13"/>
        <v>541000</v>
      </c>
      <c r="H193" s="20">
        <f t="shared" si="14"/>
        <v>595000</v>
      </c>
    </row>
    <row r="194" spans="1:8">
      <c r="A194" s="274">
        <v>190</v>
      </c>
      <c r="B194" s="222" t="s">
        <v>1755</v>
      </c>
      <c r="C194" s="273">
        <v>456019.30000000005</v>
      </c>
      <c r="D194" s="20">
        <f t="shared" si="10"/>
        <v>457000</v>
      </c>
      <c r="E194" s="20">
        <f t="shared" si="11"/>
        <v>502000</v>
      </c>
      <c r="F194" s="20">
        <f t="shared" si="12"/>
        <v>552000</v>
      </c>
      <c r="G194" s="20">
        <f t="shared" si="13"/>
        <v>607000</v>
      </c>
      <c r="H194" s="20">
        <f t="shared" si="14"/>
        <v>668000</v>
      </c>
    </row>
    <row r="195" spans="1:8">
      <c r="A195" s="274">
        <v>191</v>
      </c>
      <c r="B195" s="222" t="s">
        <v>1756</v>
      </c>
      <c r="C195" s="272">
        <v>2231694.3000000003</v>
      </c>
      <c r="D195" s="20">
        <f t="shared" si="10"/>
        <v>2232000</v>
      </c>
      <c r="E195" s="20">
        <f t="shared" si="11"/>
        <v>2455000</v>
      </c>
      <c r="F195" s="20">
        <f t="shared" si="12"/>
        <v>2701000</v>
      </c>
      <c r="G195" s="20">
        <f t="shared" si="13"/>
        <v>2971000</v>
      </c>
      <c r="H195" s="20">
        <f t="shared" si="14"/>
        <v>3268000</v>
      </c>
    </row>
    <row r="196" spans="1:8">
      <c r="A196" s="274">
        <v>192</v>
      </c>
      <c r="B196" s="222" t="s">
        <v>1757</v>
      </c>
      <c r="C196" s="273">
        <v>191331.80000000002</v>
      </c>
      <c r="D196" s="20">
        <f t="shared" si="10"/>
        <v>192000</v>
      </c>
      <c r="E196" s="20">
        <f t="shared" si="11"/>
        <v>211000</v>
      </c>
      <c r="F196" s="20">
        <f t="shared" si="12"/>
        <v>232000</v>
      </c>
      <c r="G196" s="20">
        <f t="shared" si="13"/>
        <v>255000</v>
      </c>
      <c r="H196" s="20">
        <f t="shared" si="14"/>
        <v>281000</v>
      </c>
    </row>
    <row r="197" spans="1:8">
      <c r="A197" s="274">
        <v>193</v>
      </c>
      <c r="B197" s="222" t="s">
        <v>1758</v>
      </c>
      <c r="C197" s="272">
        <v>507445.4</v>
      </c>
      <c r="D197" s="20">
        <f t="shared" si="10"/>
        <v>508000</v>
      </c>
      <c r="E197" s="20">
        <f t="shared" si="11"/>
        <v>559000</v>
      </c>
      <c r="F197" s="20">
        <f t="shared" si="12"/>
        <v>615000</v>
      </c>
      <c r="G197" s="20">
        <f t="shared" si="13"/>
        <v>676000</v>
      </c>
      <c r="H197" s="20">
        <f t="shared" si="14"/>
        <v>743000</v>
      </c>
    </row>
    <row r="198" spans="1:8">
      <c r="A198" s="274">
        <v>194</v>
      </c>
      <c r="B198" s="222" t="s">
        <v>1759</v>
      </c>
      <c r="C198" s="273">
        <v>507444.30000000005</v>
      </c>
      <c r="D198" s="20">
        <f t="shared" ref="D198:D261" si="15">ROUNDUP(C198,-3)</f>
        <v>508000</v>
      </c>
      <c r="E198" s="20">
        <f t="shared" ref="E198:E261" si="16">ROUNDUP($C198*1.1,-3)</f>
        <v>559000</v>
      </c>
      <c r="F198" s="20">
        <f t="shared" ref="F198:F261" si="17">ROUNDUP($C198*1.1*1.1,-3)</f>
        <v>615000</v>
      </c>
      <c r="G198" s="20">
        <f t="shared" ref="G198:G261" si="18">ROUNDUP($C198*1.1*1.1*1.1,-3)</f>
        <v>676000</v>
      </c>
      <c r="H198" s="20">
        <f t="shared" ref="H198:H261" si="19">ROUNDUP($C198*1.1*1.1*1.1*1.1,-3)</f>
        <v>743000</v>
      </c>
    </row>
    <row r="199" spans="1:8">
      <c r="A199" s="274">
        <v>195</v>
      </c>
      <c r="B199" s="222" t="s">
        <v>1760</v>
      </c>
      <c r="C199" s="272">
        <v>253344.30000000002</v>
      </c>
      <c r="D199" s="20">
        <f t="shared" si="15"/>
        <v>254000</v>
      </c>
      <c r="E199" s="20">
        <f t="shared" si="16"/>
        <v>279000</v>
      </c>
      <c r="F199" s="20">
        <f t="shared" si="17"/>
        <v>307000</v>
      </c>
      <c r="G199" s="20">
        <f t="shared" si="18"/>
        <v>338000</v>
      </c>
      <c r="H199" s="20">
        <f t="shared" si="19"/>
        <v>371000</v>
      </c>
    </row>
    <row r="200" spans="1:8">
      <c r="A200" s="274">
        <v>196</v>
      </c>
      <c r="B200" s="222" t="s">
        <v>1761</v>
      </c>
      <c r="C200" s="273">
        <v>419719.30000000005</v>
      </c>
      <c r="D200" s="20">
        <f t="shared" si="15"/>
        <v>420000</v>
      </c>
      <c r="E200" s="20">
        <f t="shared" si="16"/>
        <v>462000</v>
      </c>
      <c r="F200" s="20">
        <f t="shared" si="17"/>
        <v>508000</v>
      </c>
      <c r="G200" s="20">
        <f t="shared" si="18"/>
        <v>559000</v>
      </c>
      <c r="H200" s="20">
        <f t="shared" si="19"/>
        <v>615000</v>
      </c>
    </row>
    <row r="201" spans="1:8">
      <c r="A201" s="274">
        <v>197</v>
      </c>
      <c r="B201" s="222" t="s">
        <v>1762</v>
      </c>
      <c r="C201" s="272">
        <v>191331.80000000002</v>
      </c>
      <c r="D201" s="20">
        <f t="shared" si="15"/>
        <v>192000</v>
      </c>
      <c r="E201" s="20">
        <f t="shared" si="16"/>
        <v>211000</v>
      </c>
      <c r="F201" s="20">
        <f t="shared" si="17"/>
        <v>232000</v>
      </c>
      <c r="G201" s="20">
        <f t="shared" si="18"/>
        <v>255000</v>
      </c>
      <c r="H201" s="20">
        <f t="shared" si="19"/>
        <v>281000</v>
      </c>
    </row>
    <row r="202" spans="1:8">
      <c r="A202" s="274">
        <v>198</v>
      </c>
      <c r="B202" s="222" t="s">
        <v>1763</v>
      </c>
      <c r="C202" s="273">
        <v>191334.00000000003</v>
      </c>
      <c r="D202" s="20">
        <f t="shared" si="15"/>
        <v>192000</v>
      </c>
      <c r="E202" s="20">
        <f t="shared" si="16"/>
        <v>211000</v>
      </c>
      <c r="F202" s="20">
        <f t="shared" si="17"/>
        <v>232000</v>
      </c>
      <c r="G202" s="20">
        <f t="shared" si="18"/>
        <v>255000</v>
      </c>
      <c r="H202" s="20">
        <f t="shared" si="19"/>
        <v>281000</v>
      </c>
    </row>
    <row r="203" spans="1:8">
      <c r="A203" s="274">
        <v>199</v>
      </c>
      <c r="B203" s="222" t="s">
        <v>1764</v>
      </c>
      <c r="C203" s="272">
        <v>50669.3</v>
      </c>
      <c r="D203" s="20">
        <f t="shared" si="15"/>
        <v>51000</v>
      </c>
      <c r="E203" s="20">
        <f t="shared" si="16"/>
        <v>56000</v>
      </c>
      <c r="F203" s="20">
        <f t="shared" si="17"/>
        <v>62000</v>
      </c>
      <c r="G203" s="20">
        <f t="shared" si="18"/>
        <v>68000</v>
      </c>
      <c r="H203" s="20">
        <f t="shared" si="19"/>
        <v>75000</v>
      </c>
    </row>
    <row r="204" spans="1:8">
      <c r="A204" s="274">
        <v>200</v>
      </c>
      <c r="B204" s="222" t="s">
        <v>1765</v>
      </c>
      <c r="C204" s="273">
        <v>69575</v>
      </c>
      <c r="D204" s="20">
        <f t="shared" si="15"/>
        <v>70000</v>
      </c>
      <c r="E204" s="20">
        <f t="shared" si="16"/>
        <v>77000</v>
      </c>
      <c r="F204" s="20">
        <f t="shared" si="17"/>
        <v>85000</v>
      </c>
      <c r="G204" s="20">
        <f t="shared" si="18"/>
        <v>93000</v>
      </c>
      <c r="H204" s="20">
        <f t="shared" si="19"/>
        <v>102000</v>
      </c>
    </row>
    <row r="205" spans="1:8">
      <c r="A205" s="274">
        <v>201</v>
      </c>
      <c r="B205" s="222" t="s">
        <v>1766</v>
      </c>
      <c r="C205" s="272">
        <v>69575</v>
      </c>
      <c r="D205" s="20">
        <f t="shared" si="15"/>
        <v>70000</v>
      </c>
      <c r="E205" s="20">
        <f t="shared" si="16"/>
        <v>77000</v>
      </c>
      <c r="F205" s="20">
        <f t="shared" si="17"/>
        <v>85000</v>
      </c>
      <c r="G205" s="20">
        <f t="shared" si="18"/>
        <v>93000</v>
      </c>
      <c r="H205" s="20">
        <f t="shared" si="19"/>
        <v>102000</v>
      </c>
    </row>
    <row r="206" spans="1:8">
      <c r="A206" s="274">
        <v>202</v>
      </c>
      <c r="B206" s="222" t="s">
        <v>1767</v>
      </c>
      <c r="C206" s="273">
        <v>1000450.0000000001</v>
      </c>
      <c r="D206" s="20">
        <f t="shared" si="15"/>
        <v>1001000</v>
      </c>
      <c r="E206" s="20">
        <f t="shared" si="16"/>
        <v>1101000</v>
      </c>
      <c r="F206" s="20">
        <f t="shared" si="17"/>
        <v>1211000</v>
      </c>
      <c r="G206" s="20">
        <f t="shared" si="18"/>
        <v>1332000</v>
      </c>
      <c r="H206" s="20">
        <f t="shared" si="19"/>
        <v>1465000</v>
      </c>
    </row>
    <row r="207" spans="1:8">
      <c r="A207" s="274">
        <v>203</v>
      </c>
      <c r="B207" s="222" t="s">
        <v>1768</v>
      </c>
      <c r="C207" s="272">
        <v>3960000.0000000005</v>
      </c>
      <c r="D207" s="20">
        <f t="shared" si="15"/>
        <v>3960000</v>
      </c>
      <c r="E207" s="20">
        <f t="shared" si="16"/>
        <v>4356000</v>
      </c>
      <c r="F207" s="20">
        <f t="shared" si="17"/>
        <v>4792000</v>
      </c>
      <c r="G207" s="20">
        <f t="shared" si="18"/>
        <v>5271000</v>
      </c>
      <c r="H207" s="20">
        <f t="shared" si="19"/>
        <v>5798000</v>
      </c>
    </row>
    <row r="208" spans="1:8">
      <c r="A208" s="274">
        <v>204</v>
      </c>
      <c r="B208" s="222" t="s">
        <v>1769</v>
      </c>
      <c r="C208" s="273">
        <v>127050.00000000001</v>
      </c>
      <c r="D208" s="20">
        <f t="shared" si="15"/>
        <v>128000</v>
      </c>
      <c r="E208" s="20">
        <f t="shared" si="16"/>
        <v>140000</v>
      </c>
      <c r="F208" s="20">
        <f t="shared" si="17"/>
        <v>154000</v>
      </c>
      <c r="G208" s="20">
        <f t="shared" si="18"/>
        <v>170000</v>
      </c>
      <c r="H208" s="20">
        <f t="shared" si="19"/>
        <v>187000</v>
      </c>
    </row>
    <row r="209" spans="1:8">
      <c r="A209" s="274">
        <v>205</v>
      </c>
      <c r="B209" s="222" t="s">
        <v>1770</v>
      </c>
      <c r="C209" s="272">
        <v>89994.3</v>
      </c>
      <c r="D209" s="20">
        <f t="shared" si="15"/>
        <v>90000</v>
      </c>
      <c r="E209" s="20">
        <f t="shared" si="16"/>
        <v>99000</v>
      </c>
      <c r="F209" s="20">
        <f t="shared" si="17"/>
        <v>109000</v>
      </c>
      <c r="G209" s="20">
        <f t="shared" si="18"/>
        <v>120000</v>
      </c>
      <c r="H209" s="20">
        <f t="shared" si="19"/>
        <v>132000</v>
      </c>
    </row>
    <row r="210" spans="1:8">
      <c r="A210" s="274">
        <v>206</v>
      </c>
      <c r="B210" s="222" t="s">
        <v>1771</v>
      </c>
      <c r="C210" s="273">
        <v>768350.00000000012</v>
      </c>
      <c r="D210" s="20">
        <f t="shared" si="15"/>
        <v>769000</v>
      </c>
      <c r="E210" s="20">
        <f t="shared" si="16"/>
        <v>846000</v>
      </c>
      <c r="F210" s="20">
        <f t="shared" si="17"/>
        <v>930000</v>
      </c>
      <c r="G210" s="20">
        <f t="shared" si="18"/>
        <v>1023000</v>
      </c>
      <c r="H210" s="20">
        <f t="shared" si="19"/>
        <v>1125000</v>
      </c>
    </row>
    <row r="211" spans="1:8">
      <c r="A211" s="274">
        <v>207</v>
      </c>
      <c r="B211" s="222" t="s">
        <v>1772</v>
      </c>
      <c r="C211" s="272">
        <v>89994.3</v>
      </c>
      <c r="D211" s="20">
        <f t="shared" si="15"/>
        <v>90000</v>
      </c>
      <c r="E211" s="20">
        <f t="shared" si="16"/>
        <v>99000</v>
      </c>
      <c r="F211" s="20">
        <f t="shared" si="17"/>
        <v>109000</v>
      </c>
      <c r="G211" s="20">
        <f t="shared" si="18"/>
        <v>120000</v>
      </c>
      <c r="H211" s="20">
        <f t="shared" si="19"/>
        <v>132000</v>
      </c>
    </row>
    <row r="212" spans="1:8">
      <c r="A212" s="274">
        <v>208</v>
      </c>
      <c r="B212" s="222" t="s">
        <v>1773</v>
      </c>
      <c r="C212" s="273">
        <v>83188.600000000006</v>
      </c>
      <c r="D212" s="20">
        <f t="shared" si="15"/>
        <v>84000</v>
      </c>
      <c r="E212" s="20">
        <f t="shared" si="16"/>
        <v>92000</v>
      </c>
      <c r="F212" s="20">
        <f t="shared" si="17"/>
        <v>101000</v>
      </c>
      <c r="G212" s="20">
        <f t="shared" si="18"/>
        <v>111000</v>
      </c>
      <c r="H212" s="20">
        <f t="shared" si="19"/>
        <v>122000</v>
      </c>
    </row>
    <row r="213" spans="1:8">
      <c r="A213" s="274">
        <v>209</v>
      </c>
      <c r="B213" s="222" t="s">
        <v>1774</v>
      </c>
      <c r="C213" s="272">
        <v>83187.5</v>
      </c>
      <c r="D213" s="20">
        <f t="shared" si="15"/>
        <v>84000</v>
      </c>
      <c r="E213" s="20">
        <f t="shared" si="16"/>
        <v>92000</v>
      </c>
      <c r="F213" s="20">
        <f t="shared" si="17"/>
        <v>101000</v>
      </c>
      <c r="G213" s="20">
        <f t="shared" si="18"/>
        <v>111000</v>
      </c>
      <c r="H213" s="20">
        <f t="shared" si="19"/>
        <v>122000</v>
      </c>
    </row>
    <row r="214" spans="1:8">
      <c r="A214" s="274">
        <v>210</v>
      </c>
      <c r="B214" s="222" t="s">
        <v>1775</v>
      </c>
      <c r="C214" s="273">
        <v>152763.6</v>
      </c>
      <c r="D214" s="20">
        <f t="shared" si="15"/>
        <v>153000</v>
      </c>
      <c r="E214" s="20">
        <f t="shared" si="16"/>
        <v>169000</v>
      </c>
      <c r="F214" s="20">
        <f t="shared" si="17"/>
        <v>185000</v>
      </c>
      <c r="G214" s="20">
        <f t="shared" si="18"/>
        <v>204000</v>
      </c>
      <c r="H214" s="20">
        <f t="shared" si="19"/>
        <v>224000</v>
      </c>
    </row>
    <row r="215" spans="1:8">
      <c r="A215" s="274">
        <v>211</v>
      </c>
      <c r="B215" s="222" t="s">
        <v>1776</v>
      </c>
      <c r="C215" s="272">
        <v>152762.5</v>
      </c>
      <c r="D215" s="20">
        <f t="shared" si="15"/>
        <v>153000</v>
      </c>
      <c r="E215" s="20">
        <f t="shared" si="16"/>
        <v>169000</v>
      </c>
      <c r="F215" s="20">
        <f t="shared" si="17"/>
        <v>185000</v>
      </c>
      <c r="G215" s="20">
        <f t="shared" si="18"/>
        <v>204000</v>
      </c>
      <c r="H215" s="20">
        <f t="shared" si="19"/>
        <v>224000</v>
      </c>
    </row>
    <row r="216" spans="1:8">
      <c r="A216" s="274">
        <v>212</v>
      </c>
      <c r="B216" s="222" t="s">
        <v>1777</v>
      </c>
      <c r="C216" s="273">
        <v>127806.80000000002</v>
      </c>
      <c r="D216" s="20">
        <f t="shared" si="15"/>
        <v>128000</v>
      </c>
      <c r="E216" s="20">
        <f t="shared" si="16"/>
        <v>141000</v>
      </c>
      <c r="F216" s="20">
        <f t="shared" si="17"/>
        <v>155000</v>
      </c>
      <c r="G216" s="20">
        <f t="shared" si="18"/>
        <v>171000</v>
      </c>
      <c r="H216" s="20">
        <f t="shared" si="19"/>
        <v>188000</v>
      </c>
    </row>
    <row r="217" spans="1:8">
      <c r="A217" s="274">
        <v>213</v>
      </c>
      <c r="B217" s="222" t="s">
        <v>1778</v>
      </c>
      <c r="C217" s="272">
        <v>127050.00000000001</v>
      </c>
      <c r="D217" s="20">
        <f t="shared" si="15"/>
        <v>128000</v>
      </c>
      <c r="E217" s="20">
        <f t="shared" si="16"/>
        <v>140000</v>
      </c>
      <c r="F217" s="20">
        <f t="shared" si="17"/>
        <v>154000</v>
      </c>
      <c r="G217" s="20">
        <f t="shared" si="18"/>
        <v>170000</v>
      </c>
      <c r="H217" s="20">
        <f t="shared" si="19"/>
        <v>187000</v>
      </c>
    </row>
    <row r="218" spans="1:8">
      <c r="A218" s="274">
        <v>214</v>
      </c>
      <c r="B218" s="222" t="s">
        <v>1779</v>
      </c>
      <c r="C218" s="273">
        <v>406106.80000000005</v>
      </c>
      <c r="D218" s="20">
        <f t="shared" si="15"/>
        <v>407000</v>
      </c>
      <c r="E218" s="20">
        <f t="shared" si="16"/>
        <v>447000</v>
      </c>
      <c r="F218" s="20">
        <f t="shared" si="17"/>
        <v>492000</v>
      </c>
      <c r="G218" s="20">
        <f t="shared" si="18"/>
        <v>541000</v>
      </c>
      <c r="H218" s="20">
        <f t="shared" si="19"/>
        <v>595000</v>
      </c>
    </row>
    <row r="219" spans="1:8">
      <c r="A219" s="274">
        <v>215</v>
      </c>
      <c r="B219" s="222" t="s">
        <v>1780</v>
      </c>
      <c r="C219" s="272">
        <v>825000.00000000012</v>
      </c>
      <c r="D219" s="20">
        <f t="shared" si="15"/>
        <v>825000</v>
      </c>
      <c r="E219" s="20">
        <f t="shared" si="16"/>
        <v>908000</v>
      </c>
      <c r="F219" s="20">
        <f t="shared" si="17"/>
        <v>999000</v>
      </c>
      <c r="G219" s="20">
        <f t="shared" si="18"/>
        <v>1099000</v>
      </c>
      <c r="H219" s="20">
        <f t="shared" si="19"/>
        <v>1208000</v>
      </c>
    </row>
    <row r="220" spans="1:8">
      <c r="A220" s="274">
        <v>216</v>
      </c>
      <c r="B220" s="222" t="s">
        <v>1781</v>
      </c>
      <c r="C220" s="273">
        <v>698775</v>
      </c>
      <c r="D220" s="20">
        <f t="shared" si="15"/>
        <v>699000</v>
      </c>
      <c r="E220" s="20">
        <f t="shared" si="16"/>
        <v>769000</v>
      </c>
      <c r="F220" s="20">
        <f t="shared" si="17"/>
        <v>846000</v>
      </c>
      <c r="G220" s="20">
        <f t="shared" si="18"/>
        <v>931000</v>
      </c>
      <c r="H220" s="20">
        <f t="shared" si="19"/>
        <v>1024000</v>
      </c>
    </row>
    <row r="221" spans="1:8">
      <c r="A221" s="274">
        <v>217</v>
      </c>
      <c r="B221" s="222" t="s">
        <v>1782</v>
      </c>
      <c r="C221" s="272">
        <v>2198419.3000000003</v>
      </c>
      <c r="D221" s="20">
        <f t="shared" si="15"/>
        <v>2199000</v>
      </c>
      <c r="E221" s="20">
        <f t="shared" si="16"/>
        <v>2419000</v>
      </c>
      <c r="F221" s="20">
        <f t="shared" si="17"/>
        <v>2661000</v>
      </c>
      <c r="G221" s="20">
        <f t="shared" si="18"/>
        <v>2927000</v>
      </c>
      <c r="H221" s="20">
        <f t="shared" si="19"/>
        <v>3219000</v>
      </c>
    </row>
    <row r="222" spans="1:8">
      <c r="A222" s="274">
        <v>218</v>
      </c>
      <c r="B222" s="222" t="s">
        <v>1783</v>
      </c>
      <c r="C222" s="273">
        <v>76381.8</v>
      </c>
      <c r="D222" s="20">
        <f t="shared" si="15"/>
        <v>77000</v>
      </c>
      <c r="E222" s="20">
        <f t="shared" si="16"/>
        <v>85000</v>
      </c>
      <c r="F222" s="20">
        <f t="shared" si="17"/>
        <v>93000</v>
      </c>
      <c r="G222" s="20">
        <f t="shared" si="18"/>
        <v>102000</v>
      </c>
      <c r="H222" s="20">
        <f t="shared" si="19"/>
        <v>112000</v>
      </c>
    </row>
    <row r="223" spans="1:8">
      <c r="A223" s="274">
        <v>219</v>
      </c>
      <c r="B223" s="222" t="s">
        <v>1784</v>
      </c>
      <c r="C223" s="272">
        <v>1343856.8</v>
      </c>
      <c r="D223" s="20">
        <f t="shared" si="15"/>
        <v>1344000</v>
      </c>
      <c r="E223" s="20">
        <f t="shared" si="16"/>
        <v>1479000</v>
      </c>
      <c r="F223" s="20">
        <f t="shared" si="17"/>
        <v>1627000</v>
      </c>
      <c r="G223" s="20">
        <f t="shared" si="18"/>
        <v>1789000</v>
      </c>
      <c r="H223" s="20">
        <f t="shared" si="19"/>
        <v>1968000</v>
      </c>
    </row>
    <row r="224" spans="1:8">
      <c r="A224" s="274">
        <v>220</v>
      </c>
      <c r="B224" s="222" t="s">
        <v>1785</v>
      </c>
      <c r="C224" s="273">
        <v>691969.3</v>
      </c>
      <c r="D224" s="20">
        <f t="shared" si="15"/>
        <v>692000</v>
      </c>
      <c r="E224" s="20">
        <f t="shared" si="16"/>
        <v>762000</v>
      </c>
      <c r="F224" s="20">
        <f t="shared" si="17"/>
        <v>838000</v>
      </c>
      <c r="G224" s="20">
        <f t="shared" si="18"/>
        <v>922000</v>
      </c>
      <c r="H224" s="20">
        <f t="shared" si="19"/>
        <v>1014000</v>
      </c>
    </row>
    <row r="225" spans="1:8">
      <c r="A225" s="274">
        <v>221</v>
      </c>
      <c r="B225" s="222" t="s">
        <v>1786</v>
      </c>
      <c r="C225" s="272">
        <v>89994.3</v>
      </c>
      <c r="D225" s="20">
        <f t="shared" si="15"/>
        <v>90000</v>
      </c>
      <c r="E225" s="20">
        <f t="shared" si="16"/>
        <v>99000</v>
      </c>
      <c r="F225" s="20">
        <f t="shared" si="17"/>
        <v>109000</v>
      </c>
      <c r="G225" s="20">
        <f t="shared" si="18"/>
        <v>120000</v>
      </c>
      <c r="H225" s="20">
        <f t="shared" si="19"/>
        <v>132000</v>
      </c>
    </row>
    <row r="226" spans="1:8">
      <c r="A226" s="274">
        <v>222</v>
      </c>
      <c r="B226" s="222" t="s">
        <v>1787</v>
      </c>
      <c r="C226" s="273">
        <v>127050.00000000001</v>
      </c>
      <c r="D226" s="20">
        <f t="shared" si="15"/>
        <v>128000</v>
      </c>
      <c r="E226" s="20">
        <f t="shared" si="16"/>
        <v>140000</v>
      </c>
      <c r="F226" s="20">
        <f t="shared" si="17"/>
        <v>154000</v>
      </c>
      <c r="G226" s="20">
        <f t="shared" si="18"/>
        <v>170000</v>
      </c>
      <c r="H226" s="20">
        <f t="shared" si="19"/>
        <v>187000</v>
      </c>
    </row>
    <row r="227" spans="1:8">
      <c r="A227" s="274">
        <v>223</v>
      </c>
      <c r="B227" s="222" t="s">
        <v>1788</v>
      </c>
      <c r="C227" s="272">
        <v>127050.00000000001</v>
      </c>
      <c r="D227" s="20">
        <f t="shared" si="15"/>
        <v>128000</v>
      </c>
      <c r="E227" s="20">
        <f t="shared" si="16"/>
        <v>140000</v>
      </c>
      <c r="F227" s="20">
        <f t="shared" si="17"/>
        <v>154000</v>
      </c>
      <c r="G227" s="20">
        <f t="shared" si="18"/>
        <v>170000</v>
      </c>
      <c r="H227" s="20">
        <f t="shared" si="19"/>
        <v>187000</v>
      </c>
    </row>
    <row r="228" spans="1:8">
      <c r="A228" s="274">
        <v>224</v>
      </c>
      <c r="B228" s="222" t="s">
        <v>1789</v>
      </c>
      <c r="C228" s="273">
        <v>127050.00000000001</v>
      </c>
      <c r="D228" s="20">
        <f t="shared" si="15"/>
        <v>128000</v>
      </c>
      <c r="E228" s="20">
        <f t="shared" si="16"/>
        <v>140000</v>
      </c>
      <c r="F228" s="20">
        <f t="shared" si="17"/>
        <v>154000</v>
      </c>
      <c r="G228" s="20">
        <f t="shared" si="18"/>
        <v>170000</v>
      </c>
      <c r="H228" s="20">
        <f t="shared" si="19"/>
        <v>187000</v>
      </c>
    </row>
    <row r="229" spans="1:8">
      <c r="A229" s="274">
        <v>225</v>
      </c>
      <c r="B229" s="222" t="s">
        <v>1790</v>
      </c>
      <c r="C229" s="272">
        <v>252894.40000000002</v>
      </c>
      <c r="D229" s="20">
        <f t="shared" si="15"/>
        <v>253000</v>
      </c>
      <c r="E229" s="20">
        <f t="shared" si="16"/>
        <v>279000</v>
      </c>
      <c r="F229" s="20">
        <f t="shared" si="17"/>
        <v>307000</v>
      </c>
      <c r="G229" s="20">
        <f t="shared" si="18"/>
        <v>337000</v>
      </c>
      <c r="H229" s="20">
        <f t="shared" si="19"/>
        <v>371000</v>
      </c>
    </row>
    <row r="230" spans="1:8">
      <c r="A230" s="274">
        <v>226</v>
      </c>
      <c r="B230" s="222" t="s">
        <v>1791</v>
      </c>
      <c r="C230" s="273">
        <v>381150.00000000006</v>
      </c>
      <c r="D230" s="20">
        <f t="shared" si="15"/>
        <v>382000</v>
      </c>
      <c r="E230" s="20">
        <f t="shared" si="16"/>
        <v>420000</v>
      </c>
      <c r="F230" s="20">
        <f t="shared" si="17"/>
        <v>462000</v>
      </c>
      <c r="G230" s="20">
        <f t="shared" si="18"/>
        <v>508000</v>
      </c>
      <c r="H230" s="20">
        <f t="shared" si="19"/>
        <v>559000</v>
      </c>
    </row>
    <row r="231" spans="1:8">
      <c r="A231" s="274">
        <v>227</v>
      </c>
      <c r="B231" s="222" t="s">
        <v>1792</v>
      </c>
      <c r="C231" s="272">
        <v>191331.80000000002</v>
      </c>
      <c r="D231" s="20">
        <f t="shared" si="15"/>
        <v>192000</v>
      </c>
      <c r="E231" s="20">
        <f t="shared" si="16"/>
        <v>211000</v>
      </c>
      <c r="F231" s="20">
        <f t="shared" si="17"/>
        <v>232000</v>
      </c>
      <c r="G231" s="20">
        <f t="shared" si="18"/>
        <v>255000</v>
      </c>
      <c r="H231" s="20">
        <f t="shared" si="19"/>
        <v>281000</v>
      </c>
    </row>
    <row r="232" spans="1:8">
      <c r="A232" s="274">
        <v>228</v>
      </c>
      <c r="B232" s="222" t="s">
        <v>1793</v>
      </c>
      <c r="C232" s="273">
        <v>89994.3</v>
      </c>
      <c r="D232" s="20">
        <f t="shared" si="15"/>
        <v>90000</v>
      </c>
      <c r="E232" s="20">
        <f t="shared" si="16"/>
        <v>99000</v>
      </c>
      <c r="F232" s="20">
        <f t="shared" si="17"/>
        <v>109000</v>
      </c>
      <c r="G232" s="20">
        <f t="shared" si="18"/>
        <v>120000</v>
      </c>
      <c r="H232" s="20">
        <f t="shared" si="19"/>
        <v>132000</v>
      </c>
    </row>
    <row r="233" spans="1:8">
      <c r="A233" s="274">
        <v>229</v>
      </c>
      <c r="B233" s="222" t="s">
        <v>1794</v>
      </c>
      <c r="C233" s="272">
        <v>7609387.5000000009</v>
      </c>
      <c r="D233" s="20">
        <f t="shared" si="15"/>
        <v>7610000</v>
      </c>
      <c r="E233" s="20">
        <f t="shared" si="16"/>
        <v>8371000</v>
      </c>
      <c r="F233" s="20">
        <f t="shared" si="17"/>
        <v>9208000</v>
      </c>
      <c r="G233" s="20">
        <f t="shared" si="18"/>
        <v>10129000</v>
      </c>
      <c r="H233" s="20">
        <f t="shared" si="19"/>
        <v>11141000</v>
      </c>
    </row>
    <row r="234" spans="1:8">
      <c r="A234" s="274">
        <v>230</v>
      </c>
      <c r="B234" s="222" t="s">
        <v>1795</v>
      </c>
      <c r="C234" s="273">
        <v>1963500.0000000002</v>
      </c>
      <c r="D234" s="20">
        <f t="shared" si="15"/>
        <v>1964000</v>
      </c>
      <c r="E234" s="20">
        <f t="shared" si="16"/>
        <v>2160000</v>
      </c>
      <c r="F234" s="20">
        <f t="shared" si="17"/>
        <v>2376000</v>
      </c>
      <c r="G234" s="20">
        <f t="shared" si="18"/>
        <v>2614000</v>
      </c>
      <c r="H234" s="20">
        <f t="shared" si="19"/>
        <v>2875000</v>
      </c>
    </row>
    <row r="235" spans="1:8">
      <c r="A235" s="274">
        <v>231</v>
      </c>
      <c r="B235" s="222" t="s">
        <v>1796</v>
      </c>
      <c r="C235" s="272">
        <v>1848000.0000000002</v>
      </c>
      <c r="D235" s="20">
        <f t="shared" si="15"/>
        <v>1848000</v>
      </c>
      <c r="E235" s="20">
        <f t="shared" si="16"/>
        <v>2033000</v>
      </c>
      <c r="F235" s="20">
        <f t="shared" si="17"/>
        <v>2237000</v>
      </c>
      <c r="G235" s="20">
        <f t="shared" si="18"/>
        <v>2460000</v>
      </c>
      <c r="H235" s="20">
        <f t="shared" si="19"/>
        <v>2706000</v>
      </c>
    </row>
    <row r="236" spans="1:8">
      <c r="A236" s="274">
        <v>232</v>
      </c>
      <c r="B236" s="222" t="s">
        <v>1797</v>
      </c>
      <c r="C236" s="273">
        <v>702900</v>
      </c>
      <c r="D236" s="20">
        <f t="shared" si="15"/>
        <v>703000</v>
      </c>
      <c r="E236" s="20">
        <f t="shared" si="16"/>
        <v>774000</v>
      </c>
      <c r="F236" s="20">
        <f t="shared" si="17"/>
        <v>851000</v>
      </c>
      <c r="G236" s="20">
        <f t="shared" si="18"/>
        <v>936000</v>
      </c>
      <c r="H236" s="20">
        <f t="shared" si="19"/>
        <v>1030000</v>
      </c>
    </row>
    <row r="237" spans="1:8">
      <c r="A237" s="274">
        <v>233</v>
      </c>
      <c r="B237" s="222" t="s">
        <v>1798</v>
      </c>
      <c r="C237" s="272">
        <v>581900</v>
      </c>
      <c r="D237" s="20">
        <f t="shared" si="15"/>
        <v>582000</v>
      </c>
      <c r="E237" s="20">
        <f t="shared" si="16"/>
        <v>641000</v>
      </c>
      <c r="F237" s="20">
        <f t="shared" si="17"/>
        <v>705000</v>
      </c>
      <c r="G237" s="20">
        <f t="shared" si="18"/>
        <v>775000</v>
      </c>
      <c r="H237" s="20">
        <f t="shared" si="19"/>
        <v>852000</v>
      </c>
    </row>
    <row r="238" spans="1:8">
      <c r="A238" s="274">
        <v>234</v>
      </c>
      <c r="B238" s="222" t="s">
        <v>1799</v>
      </c>
      <c r="C238" s="273">
        <v>1428900</v>
      </c>
      <c r="D238" s="20">
        <f t="shared" si="15"/>
        <v>1429000</v>
      </c>
      <c r="E238" s="20">
        <f t="shared" si="16"/>
        <v>1572000</v>
      </c>
      <c r="F238" s="20">
        <f t="shared" si="17"/>
        <v>1729000</v>
      </c>
      <c r="G238" s="20">
        <f t="shared" si="18"/>
        <v>1902000</v>
      </c>
      <c r="H238" s="20">
        <f t="shared" si="19"/>
        <v>2093000</v>
      </c>
    </row>
    <row r="239" spans="1:8">
      <c r="A239" s="274">
        <v>235</v>
      </c>
      <c r="B239" s="222" t="s">
        <v>1800</v>
      </c>
      <c r="C239" s="272">
        <v>1538900.0000000002</v>
      </c>
      <c r="D239" s="20">
        <f t="shared" si="15"/>
        <v>1539000</v>
      </c>
      <c r="E239" s="20">
        <f t="shared" si="16"/>
        <v>1693000</v>
      </c>
      <c r="F239" s="20">
        <f t="shared" si="17"/>
        <v>1863000</v>
      </c>
      <c r="G239" s="20">
        <f t="shared" si="18"/>
        <v>2049000</v>
      </c>
      <c r="H239" s="20">
        <f t="shared" si="19"/>
        <v>2254000</v>
      </c>
    </row>
    <row r="240" spans="1:8">
      <c r="A240" s="274">
        <v>236</v>
      </c>
      <c r="B240" s="222" t="s">
        <v>1801</v>
      </c>
      <c r="C240" s="273">
        <v>768350.00000000012</v>
      </c>
      <c r="D240" s="20">
        <f t="shared" si="15"/>
        <v>769000</v>
      </c>
      <c r="E240" s="20">
        <f t="shared" si="16"/>
        <v>846000</v>
      </c>
      <c r="F240" s="20">
        <f t="shared" si="17"/>
        <v>930000</v>
      </c>
      <c r="G240" s="20">
        <f t="shared" si="18"/>
        <v>1023000</v>
      </c>
      <c r="H240" s="20">
        <f t="shared" si="19"/>
        <v>1125000</v>
      </c>
    </row>
    <row r="241" spans="1:8">
      <c r="A241" s="274">
        <v>237</v>
      </c>
      <c r="B241" s="222" t="s">
        <v>1802</v>
      </c>
      <c r="C241" s="272">
        <v>3056762.5000000005</v>
      </c>
      <c r="D241" s="20">
        <f t="shared" si="15"/>
        <v>3057000</v>
      </c>
      <c r="E241" s="20">
        <f t="shared" si="16"/>
        <v>3363000</v>
      </c>
      <c r="F241" s="20">
        <f t="shared" si="17"/>
        <v>3699000</v>
      </c>
      <c r="G241" s="20">
        <f t="shared" si="18"/>
        <v>4069000</v>
      </c>
      <c r="H241" s="20">
        <f t="shared" si="19"/>
        <v>4476000</v>
      </c>
    </row>
    <row r="242" spans="1:8">
      <c r="A242" s="274">
        <v>238</v>
      </c>
      <c r="B242" s="222" t="s">
        <v>1803</v>
      </c>
      <c r="C242" s="273">
        <v>3334306.8000000003</v>
      </c>
      <c r="D242" s="20">
        <f t="shared" si="15"/>
        <v>3335000</v>
      </c>
      <c r="E242" s="20">
        <f t="shared" si="16"/>
        <v>3668000</v>
      </c>
      <c r="F242" s="20">
        <f t="shared" si="17"/>
        <v>4035000</v>
      </c>
      <c r="G242" s="20">
        <f t="shared" si="18"/>
        <v>4438000</v>
      </c>
      <c r="H242" s="20">
        <f t="shared" si="19"/>
        <v>4882000</v>
      </c>
    </row>
    <row r="243" spans="1:8">
      <c r="A243" s="274">
        <v>239</v>
      </c>
      <c r="B243" s="222" t="s">
        <v>1804</v>
      </c>
      <c r="C243" s="272">
        <v>3555887.5000000005</v>
      </c>
      <c r="D243" s="20">
        <f t="shared" si="15"/>
        <v>3556000</v>
      </c>
      <c r="E243" s="20">
        <f t="shared" si="16"/>
        <v>3912000</v>
      </c>
      <c r="F243" s="20">
        <f t="shared" si="17"/>
        <v>4303000</v>
      </c>
      <c r="G243" s="20">
        <f t="shared" si="18"/>
        <v>4733000</v>
      </c>
      <c r="H243" s="20">
        <f t="shared" si="19"/>
        <v>5207000</v>
      </c>
    </row>
    <row r="244" spans="1:8">
      <c r="A244" s="274">
        <v>240</v>
      </c>
      <c r="B244" s="222" t="s">
        <v>1805</v>
      </c>
      <c r="C244" s="273">
        <v>3822087.5000000005</v>
      </c>
      <c r="D244" s="20">
        <f t="shared" si="15"/>
        <v>3823000</v>
      </c>
      <c r="E244" s="20">
        <f t="shared" si="16"/>
        <v>4205000</v>
      </c>
      <c r="F244" s="20">
        <f t="shared" si="17"/>
        <v>4625000</v>
      </c>
      <c r="G244" s="20">
        <f t="shared" si="18"/>
        <v>5088000</v>
      </c>
      <c r="H244" s="20">
        <f t="shared" si="19"/>
        <v>5596000</v>
      </c>
    </row>
    <row r="245" spans="1:8">
      <c r="A245" s="274">
        <v>241</v>
      </c>
      <c r="B245" s="222" t="s">
        <v>1806</v>
      </c>
      <c r="C245" s="272">
        <v>1186555.7000000002</v>
      </c>
      <c r="D245" s="20">
        <f t="shared" si="15"/>
        <v>1187000</v>
      </c>
      <c r="E245" s="20">
        <f t="shared" si="16"/>
        <v>1306000</v>
      </c>
      <c r="F245" s="20">
        <f t="shared" si="17"/>
        <v>1436000</v>
      </c>
      <c r="G245" s="20">
        <f t="shared" si="18"/>
        <v>1580000</v>
      </c>
      <c r="H245" s="20">
        <f t="shared" si="19"/>
        <v>1738000</v>
      </c>
    </row>
    <row r="246" spans="1:8">
      <c r="A246" s="274">
        <v>242</v>
      </c>
      <c r="B246" s="222" t="s">
        <v>1807</v>
      </c>
      <c r="C246" s="273">
        <v>2444956.8000000003</v>
      </c>
      <c r="D246" s="20">
        <f t="shared" si="15"/>
        <v>2445000</v>
      </c>
      <c r="E246" s="20">
        <f t="shared" si="16"/>
        <v>2690000</v>
      </c>
      <c r="F246" s="20">
        <f t="shared" si="17"/>
        <v>2959000</v>
      </c>
      <c r="G246" s="20">
        <f t="shared" si="18"/>
        <v>3255000</v>
      </c>
      <c r="H246" s="20">
        <f t="shared" si="19"/>
        <v>3580000</v>
      </c>
    </row>
    <row r="247" spans="1:8">
      <c r="A247" s="274">
        <v>243</v>
      </c>
      <c r="B247" s="222" t="s">
        <v>1808</v>
      </c>
      <c r="C247" s="272">
        <v>4001800.0000000005</v>
      </c>
      <c r="D247" s="20">
        <f t="shared" si="15"/>
        <v>4002000</v>
      </c>
      <c r="E247" s="20">
        <f t="shared" si="16"/>
        <v>4402000</v>
      </c>
      <c r="F247" s="20">
        <f t="shared" si="17"/>
        <v>4843000</v>
      </c>
      <c r="G247" s="20">
        <f t="shared" si="18"/>
        <v>5327000</v>
      </c>
      <c r="H247" s="20">
        <f t="shared" si="19"/>
        <v>5860000</v>
      </c>
    </row>
    <row r="248" spans="1:8">
      <c r="A248" s="274">
        <v>244</v>
      </c>
      <c r="B248" s="222" t="s">
        <v>1809</v>
      </c>
      <c r="C248" s="273">
        <v>1683412.5000000002</v>
      </c>
      <c r="D248" s="20">
        <f t="shared" si="15"/>
        <v>1684000</v>
      </c>
      <c r="E248" s="20">
        <f t="shared" si="16"/>
        <v>1852000</v>
      </c>
      <c r="F248" s="20">
        <f t="shared" si="17"/>
        <v>2037000</v>
      </c>
      <c r="G248" s="20">
        <f t="shared" si="18"/>
        <v>2241000</v>
      </c>
      <c r="H248" s="20">
        <f t="shared" si="19"/>
        <v>2465000</v>
      </c>
    </row>
    <row r="249" spans="1:8">
      <c r="A249" s="274">
        <v>245</v>
      </c>
      <c r="B249" s="222" t="s">
        <v>1810</v>
      </c>
      <c r="C249" s="272">
        <v>381150.00000000006</v>
      </c>
      <c r="D249" s="20">
        <f t="shared" si="15"/>
        <v>382000</v>
      </c>
      <c r="E249" s="20">
        <f t="shared" si="16"/>
        <v>420000</v>
      </c>
      <c r="F249" s="20">
        <f t="shared" si="17"/>
        <v>462000</v>
      </c>
      <c r="G249" s="20">
        <f t="shared" si="18"/>
        <v>508000</v>
      </c>
      <c r="H249" s="20">
        <f t="shared" si="19"/>
        <v>559000</v>
      </c>
    </row>
    <row r="250" spans="1:8">
      <c r="A250" s="274">
        <v>246</v>
      </c>
      <c r="B250" s="222" t="s">
        <v>1811</v>
      </c>
      <c r="C250" s="273">
        <v>355437.5</v>
      </c>
      <c r="D250" s="20">
        <f t="shared" si="15"/>
        <v>356000</v>
      </c>
      <c r="E250" s="20">
        <f t="shared" si="16"/>
        <v>391000</v>
      </c>
      <c r="F250" s="20">
        <f t="shared" si="17"/>
        <v>431000</v>
      </c>
      <c r="G250" s="20">
        <f t="shared" si="18"/>
        <v>474000</v>
      </c>
      <c r="H250" s="20">
        <f t="shared" si="19"/>
        <v>521000</v>
      </c>
    </row>
    <row r="251" spans="1:8">
      <c r="A251" s="274">
        <v>247</v>
      </c>
      <c r="B251" s="222" t="s">
        <v>1812</v>
      </c>
      <c r="C251" s="272">
        <v>1649381.8</v>
      </c>
      <c r="D251" s="20">
        <f t="shared" si="15"/>
        <v>1650000</v>
      </c>
      <c r="E251" s="20">
        <f t="shared" si="16"/>
        <v>1815000</v>
      </c>
      <c r="F251" s="20">
        <f t="shared" si="17"/>
        <v>1996000</v>
      </c>
      <c r="G251" s="20">
        <f t="shared" si="18"/>
        <v>2196000</v>
      </c>
      <c r="H251" s="20">
        <f t="shared" si="19"/>
        <v>2415000</v>
      </c>
    </row>
    <row r="252" spans="1:8">
      <c r="A252" s="274">
        <v>248</v>
      </c>
      <c r="B252" s="222" t="s">
        <v>1813</v>
      </c>
      <c r="C252" s="273">
        <v>253344.30000000002</v>
      </c>
      <c r="D252" s="20">
        <f t="shared" si="15"/>
        <v>254000</v>
      </c>
      <c r="E252" s="20">
        <f t="shared" si="16"/>
        <v>279000</v>
      </c>
      <c r="F252" s="20">
        <f t="shared" si="17"/>
        <v>307000</v>
      </c>
      <c r="G252" s="20">
        <f t="shared" si="18"/>
        <v>338000</v>
      </c>
      <c r="H252" s="20">
        <f t="shared" si="19"/>
        <v>371000</v>
      </c>
    </row>
    <row r="253" spans="1:8">
      <c r="A253" s="274">
        <v>249</v>
      </c>
      <c r="B253" s="222" t="s">
        <v>1814</v>
      </c>
      <c r="C253" s="272">
        <v>760787.50000000012</v>
      </c>
      <c r="D253" s="20">
        <f t="shared" si="15"/>
        <v>761000</v>
      </c>
      <c r="E253" s="20">
        <f t="shared" si="16"/>
        <v>837000</v>
      </c>
      <c r="F253" s="20">
        <f t="shared" si="17"/>
        <v>921000</v>
      </c>
      <c r="G253" s="20">
        <f t="shared" si="18"/>
        <v>1013000</v>
      </c>
      <c r="H253" s="20">
        <f t="shared" si="19"/>
        <v>1114000</v>
      </c>
    </row>
    <row r="254" spans="1:8">
      <c r="A254" s="274">
        <v>250</v>
      </c>
      <c r="B254" s="222" t="s">
        <v>1815</v>
      </c>
      <c r="C254" s="273">
        <v>1729544.3</v>
      </c>
      <c r="D254" s="20">
        <f t="shared" si="15"/>
        <v>1730000</v>
      </c>
      <c r="E254" s="20">
        <f t="shared" si="16"/>
        <v>1903000</v>
      </c>
      <c r="F254" s="20">
        <f t="shared" si="17"/>
        <v>2093000</v>
      </c>
      <c r="G254" s="20">
        <f t="shared" si="18"/>
        <v>2303000</v>
      </c>
      <c r="H254" s="20">
        <f t="shared" si="19"/>
        <v>2533000</v>
      </c>
    </row>
    <row r="255" spans="1:8">
      <c r="A255" s="274">
        <v>251</v>
      </c>
      <c r="B255" s="222" t="s">
        <v>1816</v>
      </c>
      <c r="C255" s="272">
        <v>253344.30000000002</v>
      </c>
      <c r="D255" s="20">
        <f t="shared" si="15"/>
        <v>254000</v>
      </c>
      <c r="E255" s="20">
        <f t="shared" si="16"/>
        <v>279000</v>
      </c>
      <c r="F255" s="20">
        <f t="shared" si="17"/>
        <v>307000</v>
      </c>
      <c r="G255" s="20">
        <f t="shared" si="18"/>
        <v>338000</v>
      </c>
      <c r="H255" s="20">
        <f t="shared" si="19"/>
        <v>371000</v>
      </c>
    </row>
    <row r="256" spans="1:8">
      <c r="A256" s="274">
        <v>252</v>
      </c>
      <c r="B256" s="222" t="s">
        <v>1817</v>
      </c>
      <c r="C256" s="273">
        <v>279056.80000000005</v>
      </c>
      <c r="D256" s="20">
        <f t="shared" si="15"/>
        <v>280000</v>
      </c>
      <c r="E256" s="20">
        <f t="shared" si="16"/>
        <v>307000</v>
      </c>
      <c r="F256" s="20">
        <f t="shared" si="17"/>
        <v>338000</v>
      </c>
      <c r="G256" s="20">
        <f t="shared" si="18"/>
        <v>372000</v>
      </c>
      <c r="H256" s="20">
        <f t="shared" si="19"/>
        <v>409000</v>
      </c>
    </row>
    <row r="257" spans="1:8">
      <c r="A257" s="274">
        <v>253</v>
      </c>
      <c r="B257" s="222" t="s">
        <v>1818</v>
      </c>
      <c r="C257" s="272">
        <v>419719.30000000005</v>
      </c>
      <c r="D257" s="20">
        <f t="shared" si="15"/>
        <v>420000</v>
      </c>
      <c r="E257" s="20">
        <f t="shared" si="16"/>
        <v>462000</v>
      </c>
      <c r="F257" s="20">
        <f t="shared" si="17"/>
        <v>508000</v>
      </c>
      <c r="G257" s="20">
        <f t="shared" si="18"/>
        <v>559000</v>
      </c>
      <c r="H257" s="20">
        <f t="shared" si="19"/>
        <v>615000</v>
      </c>
    </row>
    <row r="258" spans="1:8">
      <c r="A258" s="274">
        <v>254</v>
      </c>
      <c r="B258" s="222" t="s">
        <v>1819</v>
      </c>
      <c r="C258" s="273">
        <v>381150.00000000006</v>
      </c>
      <c r="D258" s="20">
        <f t="shared" si="15"/>
        <v>382000</v>
      </c>
      <c r="E258" s="20">
        <f t="shared" si="16"/>
        <v>420000</v>
      </c>
      <c r="F258" s="20">
        <f t="shared" si="17"/>
        <v>462000</v>
      </c>
      <c r="G258" s="20">
        <f t="shared" si="18"/>
        <v>508000</v>
      </c>
      <c r="H258" s="20">
        <f t="shared" si="19"/>
        <v>559000</v>
      </c>
    </row>
    <row r="259" spans="1:8">
      <c r="A259" s="274">
        <v>255</v>
      </c>
      <c r="B259" s="222" t="s">
        <v>1820</v>
      </c>
      <c r="C259" s="272">
        <v>253344.30000000002</v>
      </c>
      <c r="D259" s="20">
        <f t="shared" si="15"/>
        <v>254000</v>
      </c>
      <c r="E259" s="20">
        <f t="shared" si="16"/>
        <v>279000</v>
      </c>
      <c r="F259" s="20">
        <f t="shared" si="17"/>
        <v>307000</v>
      </c>
      <c r="G259" s="20">
        <f t="shared" si="18"/>
        <v>338000</v>
      </c>
      <c r="H259" s="20">
        <f t="shared" si="19"/>
        <v>371000</v>
      </c>
    </row>
    <row r="260" spans="1:8">
      <c r="A260" s="274">
        <v>256</v>
      </c>
      <c r="B260" s="222" t="s">
        <v>1821</v>
      </c>
      <c r="C260" s="273">
        <v>253345.40000000002</v>
      </c>
      <c r="D260" s="20">
        <f t="shared" si="15"/>
        <v>254000</v>
      </c>
      <c r="E260" s="20">
        <f t="shared" si="16"/>
        <v>279000</v>
      </c>
      <c r="F260" s="20">
        <f t="shared" si="17"/>
        <v>307000</v>
      </c>
      <c r="G260" s="20">
        <f t="shared" si="18"/>
        <v>338000</v>
      </c>
      <c r="H260" s="20">
        <f t="shared" si="19"/>
        <v>371000</v>
      </c>
    </row>
    <row r="261" spans="1:8">
      <c r="A261" s="274">
        <v>257</v>
      </c>
      <c r="B261" s="222" t="s">
        <v>1822</v>
      </c>
      <c r="C261" s="272">
        <v>191331.80000000002</v>
      </c>
      <c r="D261" s="20">
        <f t="shared" si="15"/>
        <v>192000</v>
      </c>
      <c r="E261" s="20">
        <f t="shared" si="16"/>
        <v>211000</v>
      </c>
      <c r="F261" s="20">
        <f t="shared" si="17"/>
        <v>232000</v>
      </c>
      <c r="G261" s="20">
        <f t="shared" si="18"/>
        <v>255000</v>
      </c>
      <c r="H261" s="20">
        <f t="shared" si="19"/>
        <v>281000</v>
      </c>
    </row>
    <row r="262" spans="1:8">
      <c r="A262" s="274">
        <v>258</v>
      </c>
      <c r="B262" s="222" t="s">
        <v>1823</v>
      </c>
      <c r="C262" s="273">
        <v>1537456.8</v>
      </c>
      <c r="D262" s="20">
        <f t="shared" ref="D262:D325" si="20">ROUNDUP(C262,-3)</f>
        <v>1538000</v>
      </c>
      <c r="E262" s="20">
        <f t="shared" ref="E262:E325" si="21">ROUNDUP($C262*1.1,-3)</f>
        <v>1692000</v>
      </c>
      <c r="F262" s="20">
        <f t="shared" ref="F262:F325" si="22">ROUNDUP($C262*1.1*1.1,-3)</f>
        <v>1861000</v>
      </c>
      <c r="G262" s="20">
        <f t="shared" ref="G262:G325" si="23">ROUNDUP($C262*1.1*1.1*1.1,-3)</f>
        <v>2047000</v>
      </c>
      <c r="H262" s="20">
        <f t="shared" ref="H262:H325" si="24">ROUNDUP($C262*1.1*1.1*1.1*1.1,-3)</f>
        <v>2251000</v>
      </c>
    </row>
    <row r="263" spans="1:8">
      <c r="A263" s="274">
        <v>259</v>
      </c>
      <c r="B263" s="222" t="s">
        <v>1824</v>
      </c>
      <c r="C263" s="272">
        <v>105119.3</v>
      </c>
      <c r="D263" s="20">
        <f t="shared" si="20"/>
        <v>106000</v>
      </c>
      <c r="E263" s="20">
        <f t="shared" si="21"/>
        <v>116000</v>
      </c>
      <c r="F263" s="20">
        <f t="shared" si="22"/>
        <v>128000</v>
      </c>
      <c r="G263" s="20">
        <f t="shared" si="23"/>
        <v>140000</v>
      </c>
      <c r="H263" s="20">
        <f t="shared" si="24"/>
        <v>154000</v>
      </c>
    </row>
    <row r="264" spans="1:8">
      <c r="A264" s="274">
        <v>260</v>
      </c>
      <c r="B264" s="222" t="s">
        <v>1825</v>
      </c>
      <c r="C264" s="273">
        <v>127050.00000000001</v>
      </c>
      <c r="D264" s="20">
        <f t="shared" si="20"/>
        <v>128000</v>
      </c>
      <c r="E264" s="20">
        <f t="shared" si="21"/>
        <v>140000</v>
      </c>
      <c r="F264" s="20">
        <f t="shared" si="22"/>
        <v>154000</v>
      </c>
      <c r="G264" s="20">
        <f t="shared" si="23"/>
        <v>170000</v>
      </c>
      <c r="H264" s="20">
        <f t="shared" si="24"/>
        <v>187000</v>
      </c>
    </row>
    <row r="265" spans="1:8">
      <c r="A265" s="274">
        <v>261</v>
      </c>
      <c r="B265" s="222" t="s">
        <v>1826</v>
      </c>
      <c r="C265" s="272">
        <v>1268231.8</v>
      </c>
      <c r="D265" s="20">
        <f t="shared" si="20"/>
        <v>1269000</v>
      </c>
      <c r="E265" s="20">
        <f t="shared" si="21"/>
        <v>1396000</v>
      </c>
      <c r="F265" s="20">
        <f t="shared" si="22"/>
        <v>1535000</v>
      </c>
      <c r="G265" s="20">
        <f t="shared" si="23"/>
        <v>1689000</v>
      </c>
      <c r="H265" s="20">
        <f t="shared" si="24"/>
        <v>1857000</v>
      </c>
    </row>
    <row r="266" spans="1:8">
      <c r="A266" s="274">
        <v>262</v>
      </c>
      <c r="B266" s="222" t="s">
        <v>1827</v>
      </c>
      <c r="C266" s="273">
        <v>4950000</v>
      </c>
      <c r="D266" s="20">
        <f t="shared" si="20"/>
        <v>4950000</v>
      </c>
      <c r="E266" s="20">
        <f t="shared" si="21"/>
        <v>5445000</v>
      </c>
      <c r="F266" s="20">
        <f t="shared" si="22"/>
        <v>5990000</v>
      </c>
      <c r="G266" s="20">
        <f t="shared" si="23"/>
        <v>6589000</v>
      </c>
      <c r="H266" s="20">
        <f t="shared" si="24"/>
        <v>7248000</v>
      </c>
    </row>
    <row r="267" spans="1:8">
      <c r="A267" s="274">
        <v>263</v>
      </c>
      <c r="B267" s="222" t="s">
        <v>1828</v>
      </c>
      <c r="C267" s="272">
        <v>11000000</v>
      </c>
      <c r="D267" s="20">
        <f t="shared" si="20"/>
        <v>11000000</v>
      </c>
      <c r="E267" s="20">
        <f t="shared" si="21"/>
        <v>12100000</v>
      </c>
      <c r="F267" s="20">
        <f t="shared" si="22"/>
        <v>13310000</v>
      </c>
      <c r="G267" s="20">
        <f t="shared" si="23"/>
        <v>14641000</v>
      </c>
      <c r="H267" s="20">
        <f t="shared" si="24"/>
        <v>16106000</v>
      </c>
    </row>
    <row r="268" spans="1:8">
      <c r="A268" s="274">
        <v>264</v>
      </c>
      <c r="B268" s="222" t="s">
        <v>1829</v>
      </c>
      <c r="C268" s="273">
        <v>25850.000000000004</v>
      </c>
      <c r="D268" s="20">
        <f t="shared" si="20"/>
        <v>26000</v>
      </c>
      <c r="E268" s="20">
        <f t="shared" si="21"/>
        <v>29000</v>
      </c>
      <c r="F268" s="20">
        <f t="shared" si="22"/>
        <v>32000</v>
      </c>
      <c r="G268" s="20">
        <f t="shared" si="23"/>
        <v>35000</v>
      </c>
      <c r="H268" s="20">
        <f t="shared" si="24"/>
        <v>38000</v>
      </c>
    </row>
    <row r="269" spans="1:8">
      <c r="A269" s="274">
        <v>265</v>
      </c>
      <c r="B269" s="222" t="s">
        <v>1830</v>
      </c>
      <c r="C269" s="272">
        <v>72600</v>
      </c>
      <c r="D269" s="20">
        <f t="shared" si="20"/>
        <v>73000</v>
      </c>
      <c r="E269" s="20">
        <f t="shared" si="21"/>
        <v>80000</v>
      </c>
      <c r="F269" s="20">
        <f t="shared" si="22"/>
        <v>88000</v>
      </c>
      <c r="G269" s="20">
        <f t="shared" si="23"/>
        <v>97000</v>
      </c>
      <c r="H269" s="20">
        <f t="shared" si="24"/>
        <v>107000</v>
      </c>
    </row>
    <row r="270" spans="1:8">
      <c r="A270" s="274">
        <v>266</v>
      </c>
      <c r="B270" s="222" t="s">
        <v>1831</v>
      </c>
      <c r="C270" s="273">
        <v>264000</v>
      </c>
      <c r="D270" s="20">
        <f t="shared" si="20"/>
        <v>264000</v>
      </c>
      <c r="E270" s="20">
        <f t="shared" si="21"/>
        <v>291000</v>
      </c>
      <c r="F270" s="20">
        <f t="shared" si="22"/>
        <v>320000</v>
      </c>
      <c r="G270" s="20">
        <f t="shared" si="23"/>
        <v>352000</v>
      </c>
      <c r="H270" s="20">
        <f t="shared" si="24"/>
        <v>387000</v>
      </c>
    </row>
    <row r="271" spans="1:8">
      <c r="A271" s="274">
        <v>267</v>
      </c>
      <c r="B271" s="222" t="s">
        <v>1832</v>
      </c>
      <c r="C271" s="272">
        <v>308000</v>
      </c>
      <c r="D271" s="20">
        <f t="shared" si="20"/>
        <v>308000</v>
      </c>
      <c r="E271" s="20">
        <f t="shared" si="21"/>
        <v>339000</v>
      </c>
      <c r="F271" s="20">
        <f t="shared" si="22"/>
        <v>373000</v>
      </c>
      <c r="G271" s="20">
        <f t="shared" si="23"/>
        <v>410000</v>
      </c>
      <c r="H271" s="20">
        <f t="shared" si="24"/>
        <v>451000</v>
      </c>
    </row>
    <row r="272" spans="1:8">
      <c r="A272" s="274">
        <v>268</v>
      </c>
      <c r="B272" s="222" t="s">
        <v>1833</v>
      </c>
      <c r="C272" s="273">
        <v>144444.30000000002</v>
      </c>
      <c r="D272" s="20">
        <f t="shared" si="20"/>
        <v>145000</v>
      </c>
      <c r="E272" s="20">
        <f t="shared" si="21"/>
        <v>159000</v>
      </c>
      <c r="F272" s="20">
        <f t="shared" si="22"/>
        <v>175000</v>
      </c>
      <c r="G272" s="20">
        <f t="shared" si="23"/>
        <v>193000</v>
      </c>
      <c r="H272" s="20">
        <f t="shared" si="24"/>
        <v>212000</v>
      </c>
    </row>
    <row r="273" spans="1:8">
      <c r="A273" s="274">
        <v>269</v>
      </c>
      <c r="B273" s="222" t="s">
        <v>1834</v>
      </c>
      <c r="C273" s="272">
        <v>5764894.3000000007</v>
      </c>
      <c r="D273" s="20">
        <f t="shared" si="20"/>
        <v>5765000</v>
      </c>
      <c r="E273" s="20">
        <f t="shared" si="21"/>
        <v>6342000</v>
      </c>
      <c r="F273" s="20">
        <f t="shared" si="22"/>
        <v>6976000</v>
      </c>
      <c r="G273" s="20">
        <f t="shared" si="23"/>
        <v>7674000</v>
      </c>
      <c r="H273" s="20">
        <f t="shared" si="24"/>
        <v>8441000</v>
      </c>
    </row>
    <row r="274" spans="1:8">
      <c r="A274" s="274">
        <v>270</v>
      </c>
      <c r="B274" s="222" t="s">
        <v>1835</v>
      </c>
      <c r="C274" s="273">
        <v>2789806.8000000003</v>
      </c>
      <c r="D274" s="20">
        <f t="shared" si="20"/>
        <v>2790000</v>
      </c>
      <c r="E274" s="20">
        <f t="shared" si="21"/>
        <v>3069000</v>
      </c>
      <c r="F274" s="20">
        <f t="shared" si="22"/>
        <v>3376000</v>
      </c>
      <c r="G274" s="20">
        <f t="shared" si="23"/>
        <v>3714000</v>
      </c>
      <c r="H274" s="20">
        <f t="shared" si="24"/>
        <v>4085000</v>
      </c>
    </row>
    <row r="275" spans="1:8">
      <c r="A275" s="274">
        <v>271</v>
      </c>
      <c r="B275" s="222" t="s">
        <v>1836</v>
      </c>
      <c r="C275" s="272">
        <v>77894.3</v>
      </c>
      <c r="D275" s="20">
        <f t="shared" si="20"/>
        <v>78000</v>
      </c>
      <c r="E275" s="20">
        <f t="shared" si="21"/>
        <v>86000</v>
      </c>
      <c r="F275" s="20">
        <f t="shared" si="22"/>
        <v>95000</v>
      </c>
      <c r="G275" s="20">
        <f t="shared" si="23"/>
        <v>104000</v>
      </c>
      <c r="H275" s="20">
        <f t="shared" si="24"/>
        <v>115000</v>
      </c>
    </row>
    <row r="276" spans="1:8">
      <c r="A276" s="274">
        <v>272</v>
      </c>
      <c r="B276" s="222" t="s">
        <v>1837</v>
      </c>
      <c r="C276" s="273">
        <v>173940.80000000002</v>
      </c>
      <c r="D276" s="20">
        <f t="shared" si="20"/>
        <v>174000</v>
      </c>
      <c r="E276" s="20">
        <f t="shared" si="21"/>
        <v>192000</v>
      </c>
      <c r="F276" s="20">
        <f t="shared" si="22"/>
        <v>211000</v>
      </c>
      <c r="G276" s="20">
        <f t="shared" si="23"/>
        <v>232000</v>
      </c>
      <c r="H276" s="20">
        <f t="shared" si="24"/>
        <v>255000</v>
      </c>
    </row>
    <row r="277" spans="1:8">
      <c r="A277" s="274">
        <v>273</v>
      </c>
      <c r="B277" s="222" t="s">
        <v>1838</v>
      </c>
      <c r="C277" s="272">
        <v>2536462.5</v>
      </c>
      <c r="D277" s="20">
        <f t="shared" si="20"/>
        <v>2537000</v>
      </c>
      <c r="E277" s="20">
        <f t="shared" si="21"/>
        <v>2791000</v>
      </c>
      <c r="F277" s="20">
        <f t="shared" si="22"/>
        <v>3070000</v>
      </c>
      <c r="G277" s="20">
        <f t="shared" si="23"/>
        <v>3377000</v>
      </c>
      <c r="H277" s="20">
        <f t="shared" si="24"/>
        <v>3714000</v>
      </c>
    </row>
    <row r="278" spans="1:8">
      <c r="A278" s="274">
        <v>274</v>
      </c>
      <c r="B278" s="222" t="s">
        <v>1839</v>
      </c>
      <c r="C278" s="273">
        <v>887837.50000000012</v>
      </c>
      <c r="D278" s="20">
        <f t="shared" si="20"/>
        <v>888000</v>
      </c>
      <c r="E278" s="20">
        <f t="shared" si="21"/>
        <v>977000</v>
      </c>
      <c r="F278" s="20">
        <f t="shared" si="22"/>
        <v>1075000</v>
      </c>
      <c r="G278" s="20">
        <f t="shared" si="23"/>
        <v>1182000</v>
      </c>
      <c r="H278" s="20">
        <f t="shared" si="24"/>
        <v>1300000</v>
      </c>
    </row>
    <row r="279" spans="1:8">
      <c r="A279" s="274">
        <v>275</v>
      </c>
      <c r="B279" s="222" t="s">
        <v>1840</v>
      </c>
      <c r="C279" s="272">
        <v>191331.80000000002</v>
      </c>
      <c r="D279" s="20">
        <f t="shared" si="20"/>
        <v>192000</v>
      </c>
      <c r="E279" s="20">
        <f t="shared" si="21"/>
        <v>211000</v>
      </c>
      <c r="F279" s="20">
        <f t="shared" si="22"/>
        <v>232000</v>
      </c>
      <c r="G279" s="20">
        <f t="shared" si="23"/>
        <v>255000</v>
      </c>
      <c r="H279" s="20">
        <f t="shared" si="24"/>
        <v>281000</v>
      </c>
    </row>
    <row r="280" spans="1:8">
      <c r="A280" s="274">
        <v>276</v>
      </c>
      <c r="B280" s="222" t="s">
        <v>1841</v>
      </c>
      <c r="C280" s="273">
        <v>76381.8</v>
      </c>
      <c r="D280" s="20">
        <f t="shared" si="20"/>
        <v>77000</v>
      </c>
      <c r="E280" s="20">
        <f t="shared" si="21"/>
        <v>85000</v>
      </c>
      <c r="F280" s="20">
        <f t="shared" si="22"/>
        <v>93000</v>
      </c>
      <c r="G280" s="20">
        <f t="shared" si="23"/>
        <v>102000</v>
      </c>
      <c r="H280" s="20">
        <f t="shared" si="24"/>
        <v>112000</v>
      </c>
    </row>
    <row r="281" spans="1:8">
      <c r="A281" s="274">
        <v>277</v>
      </c>
      <c r="B281" s="222" t="s">
        <v>1842</v>
      </c>
      <c r="C281" s="272">
        <v>1014131.8</v>
      </c>
      <c r="D281" s="20">
        <f t="shared" si="20"/>
        <v>1015000</v>
      </c>
      <c r="E281" s="20">
        <f t="shared" si="21"/>
        <v>1116000</v>
      </c>
      <c r="F281" s="20">
        <f t="shared" si="22"/>
        <v>1228000</v>
      </c>
      <c r="G281" s="20">
        <f t="shared" si="23"/>
        <v>1350000</v>
      </c>
      <c r="H281" s="20">
        <f t="shared" si="24"/>
        <v>1485000</v>
      </c>
    </row>
    <row r="282" spans="1:8">
      <c r="A282" s="274">
        <v>278</v>
      </c>
      <c r="B282" s="222" t="s">
        <v>1843</v>
      </c>
      <c r="C282" s="273">
        <v>634494.30000000005</v>
      </c>
      <c r="D282" s="20">
        <f t="shared" si="20"/>
        <v>635000</v>
      </c>
      <c r="E282" s="20">
        <f t="shared" si="21"/>
        <v>698000</v>
      </c>
      <c r="F282" s="20">
        <f t="shared" si="22"/>
        <v>768000</v>
      </c>
      <c r="G282" s="20">
        <f t="shared" si="23"/>
        <v>845000</v>
      </c>
      <c r="H282" s="20">
        <f t="shared" si="24"/>
        <v>929000</v>
      </c>
    </row>
    <row r="283" spans="1:8">
      <c r="A283" s="274">
        <v>279</v>
      </c>
      <c r="B283" s="222" t="s">
        <v>1844</v>
      </c>
      <c r="C283" s="272">
        <v>887837.50000000012</v>
      </c>
      <c r="D283" s="20">
        <f t="shared" si="20"/>
        <v>888000</v>
      </c>
      <c r="E283" s="20">
        <f t="shared" si="21"/>
        <v>977000</v>
      </c>
      <c r="F283" s="20">
        <f t="shared" si="22"/>
        <v>1075000</v>
      </c>
      <c r="G283" s="20">
        <f t="shared" si="23"/>
        <v>1182000</v>
      </c>
      <c r="H283" s="20">
        <f t="shared" si="24"/>
        <v>1300000</v>
      </c>
    </row>
    <row r="284" spans="1:8">
      <c r="A284" s="274">
        <v>280</v>
      </c>
      <c r="B284" s="222" t="s">
        <v>1845</v>
      </c>
      <c r="C284" s="273">
        <v>191331.80000000002</v>
      </c>
      <c r="D284" s="20">
        <f t="shared" si="20"/>
        <v>192000</v>
      </c>
      <c r="E284" s="20">
        <f t="shared" si="21"/>
        <v>211000</v>
      </c>
      <c r="F284" s="20">
        <f t="shared" si="22"/>
        <v>232000</v>
      </c>
      <c r="G284" s="20">
        <f t="shared" si="23"/>
        <v>255000</v>
      </c>
      <c r="H284" s="20">
        <f t="shared" si="24"/>
        <v>281000</v>
      </c>
    </row>
    <row r="285" spans="1:8">
      <c r="A285" s="274">
        <v>281</v>
      </c>
      <c r="B285" s="222" t="s">
        <v>1846</v>
      </c>
      <c r="C285" s="272">
        <v>431062.50000000006</v>
      </c>
      <c r="D285" s="20">
        <f t="shared" si="20"/>
        <v>432000</v>
      </c>
      <c r="E285" s="20">
        <f t="shared" si="21"/>
        <v>475000</v>
      </c>
      <c r="F285" s="20">
        <f t="shared" si="22"/>
        <v>522000</v>
      </c>
      <c r="G285" s="20">
        <f t="shared" si="23"/>
        <v>574000</v>
      </c>
      <c r="H285" s="20">
        <f t="shared" si="24"/>
        <v>632000</v>
      </c>
    </row>
    <row r="286" spans="1:8">
      <c r="A286" s="274">
        <v>282</v>
      </c>
      <c r="B286" s="222" t="s">
        <v>1847</v>
      </c>
      <c r="C286" s="273">
        <v>507444.30000000005</v>
      </c>
      <c r="D286" s="20">
        <f t="shared" si="20"/>
        <v>508000</v>
      </c>
      <c r="E286" s="20">
        <f t="shared" si="21"/>
        <v>559000</v>
      </c>
      <c r="F286" s="20">
        <f t="shared" si="22"/>
        <v>615000</v>
      </c>
      <c r="G286" s="20">
        <f t="shared" si="23"/>
        <v>676000</v>
      </c>
      <c r="H286" s="20">
        <f t="shared" si="24"/>
        <v>743000</v>
      </c>
    </row>
    <row r="287" spans="1:8">
      <c r="A287" s="274">
        <v>283</v>
      </c>
      <c r="B287" s="222" t="s">
        <v>1848</v>
      </c>
      <c r="C287" s="272">
        <v>507444.30000000005</v>
      </c>
      <c r="D287" s="20">
        <f t="shared" si="20"/>
        <v>508000</v>
      </c>
      <c r="E287" s="20">
        <f t="shared" si="21"/>
        <v>559000</v>
      </c>
      <c r="F287" s="20">
        <f t="shared" si="22"/>
        <v>615000</v>
      </c>
      <c r="G287" s="20">
        <f t="shared" si="23"/>
        <v>676000</v>
      </c>
      <c r="H287" s="20">
        <f t="shared" si="24"/>
        <v>743000</v>
      </c>
    </row>
    <row r="288" spans="1:8">
      <c r="A288" s="274">
        <v>284</v>
      </c>
      <c r="B288" s="222" t="s">
        <v>1849</v>
      </c>
      <c r="C288" s="273">
        <v>253344.30000000002</v>
      </c>
      <c r="D288" s="20">
        <f t="shared" si="20"/>
        <v>254000</v>
      </c>
      <c r="E288" s="20">
        <f t="shared" si="21"/>
        <v>279000</v>
      </c>
      <c r="F288" s="20">
        <f t="shared" si="22"/>
        <v>307000</v>
      </c>
      <c r="G288" s="20">
        <f t="shared" si="23"/>
        <v>338000</v>
      </c>
      <c r="H288" s="20">
        <f t="shared" si="24"/>
        <v>371000</v>
      </c>
    </row>
    <row r="289" spans="1:8">
      <c r="A289" s="274">
        <v>285</v>
      </c>
      <c r="B289" s="222" t="s">
        <v>1850</v>
      </c>
      <c r="C289" s="272">
        <v>307794.30000000005</v>
      </c>
      <c r="D289" s="20">
        <f t="shared" si="20"/>
        <v>308000</v>
      </c>
      <c r="E289" s="20">
        <f t="shared" si="21"/>
        <v>339000</v>
      </c>
      <c r="F289" s="20">
        <f t="shared" si="22"/>
        <v>373000</v>
      </c>
      <c r="G289" s="20">
        <f t="shared" si="23"/>
        <v>410000</v>
      </c>
      <c r="H289" s="20">
        <f t="shared" si="24"/>
        <v>451000</v>
      </c>
    </row>
    <row r="290" spans="1:8">
      <c r="A290" s="274">
        <v>286</v>
      </c>
      <c r="B290" s="222" t="s">
        <v>1851</v>
      </c>
      <c r="C290" s="273">
        <v>202675.00000000003</v>
      </c>
      <c r="D290" s="20">
        <f t="shared" si="20"/>
        <v>203000</v>
      </c>
      <c r="E290" s="20">
        <f t="shared" si="21"/>
        <v>223000</v>
      </c>
      <c r="F290" s="20">
        <f t="shared" si="22"/>
        <v>246000</v>
      </c>
      <c r="G290" s="20">
        <f t="shared" si="23"/>
        <v>270000</v>
      </c>
      <c r="H290" s="20">
        <f t="shared" si="24"/>
        <v>297000</v>
      </c>
    </row>
    <row r="291" spans="1:8">
      <c r="A291" s="274">
        <v>287</v>
      </c>
      <c r="B291" s="222" t="s">
        <v>1852</v>
      </c>
      <c r="C291" s="272">
        <v>50820.000000000007</v>
      </c>
      <c r="D291" s="20">
        <f t="shared" si="20"/>
        <v>51000</v>
      </c>
      <c r="E291" s="20">
        <f t="shared" si="21"/>
        <v>56000</v>
      </c>
      <c r="F291" s="20">
        <f t="shared" si="22"/>
        <v>62000</v>
      </c>
      <c r="G291" s="20">
        <f t="shared" si="23"/>
        <v>68000</v>
      </c>
      <c r="H291" s="20">
        <f t="shared" si="24"/>
        <v>75000</v>
      </c>
    </row>
    <row r="292" spans="1:8">
      <c r="A292" s="274">
        <v>288</v>
      </c>
      <c r="B292" s="222" t="s">
        <v>1853</v>
      </c>
      <c r="C292" s="273">
        <v>50820.000000000007</v>
      </c>
      <c r="D292" s="20">
        <f t="shared" si="20"/>
        <v>51000</v>
      </c>
      <c r="E292" s="20">
        <f t="shared" si="21"/>
        <v>56000</v>
      </c>
      <c r="F292" s="20">
        <f t="shared" si="22"/>
        <v>62000</v>
      </c>
      <c r="G292" s="20">
        <f t="shared" si="23"/>
        <v>68000</v>
      </c>
      <c r="H292" s="20">
        <f t="shared" si="24"/>
        <v>75000</v>
      </c>
    </row>
    <row r="293" spans="1:8">
      <c r="A293" s="274">
        <v>289</v>
      </c>
      <c r="B293" s="222" t="s">
        <v>1854</v>
      </c>
      <c r="C293" s="272">
        <v>865150.00000000012</v>
      </c>
      <c r="D293" s="20">
        <f t="shared" si="20"/>
        <v>866000</v>
      </c>
      <c r="E293" s="20">
        <f t="shared" si="21"/>
        <v>952000</v>
      </c>
      <c r="F293" s="20">
        <f t="shared" si="22"/>
        <v>1047000</v>
      </c>
      <c r="G293" s="20">
        <f t="shared" si="23"/>
        <v>1152000</v>
      </c>
      <c r="H293" s="20">
        <f t="shared" si="24"/>
        <v>1267000</v>
      </c>
    </row>
    <row r="294" spans="1:8">
      <c r="A294" s="274">
        <v>290</v>
      </c>
      <c r="B294" s="222" t="s">
        <v>1855</v>
      </c>
      <c r="C294" s="273">
        <v>89994.3</v>
      </c>
      <c r="D294" s="20">
        <f t="shared" si="20"/>
        <v>90000</v>
      </c>
      <c r="E294" s="20">
        <f t="shared" si="21"/>
        <v>99000</v>
      </c>
      <c r="F294" s="20">
        <f t="shared" si="22"/>
        <v>109000</v>
      </c>
      <c r="G294" s="20">
        <f t="shared" si="23"/>
        <v>120000</v>
      </c>
      <c r="H294" s="20">
        <f t="shared" si="24"/>
        <v>132000</v>
      </c>
    </row>
    <row r="295" spans="1:8">
      <c r="A295" s="274">
        <v>291</v>
      </c>
      <c r="B295" s="222" t="s">
        <v>1856</v>
      </c>
      <c r="C295" s="272">
        <v>1014134.0000000001</v>
      </c>
      <c r="D295" s="20">
        <f t="shared" si="20"/>
        <v>1015000</v>
      </c>
      <c r="E295" s="20">
        <f t="shared" si="21"/>
        <v>1116000</v>
      </c>
      <c r="F295" s="20">
        <f t="shared" si="22"/>
        <v>1228000</v>
      </c>
      <c r="G295" s="20">
        <f t="shared" si="23"/>
        <v>1350000</v>
      </c>
      <c r="H295" s="20">
        <f t="shared" si="24"/>
        <v>1485000</v>
      </c>
    </row>
    <row r="296" spans="1:8">
      <c r="A296" s="274">
        <v>292</v>
      </c>
      <c r="B296" s="222" t="s">
        <v>1857</v>
      </c>
      <c r="C296" s="273">
        <v>1014131.8</v>
      </c>
      <c r="D296" s="20">
        <f t="shared" si="20"/>
        <v>1015000</v>
      </c>
      <c r="E296" s="20">
        <f t="shared" si="21"/>
        <v>1116000</v>
      </c>
      <c r="F296" s="20">
        <f t="shared" si="22"/>
        <v>1228000</v>
      </c>
      <c r="G296" s="20">
        <f t="shared" si="23"/>
        <v>1350000</v>
      </c>
      <c r="H296" s="20">
        <f t="shared" si="24"/>
        <v>1485000</v>
      </c>
    </row>
    <row r="297" spans="1:8">
      <c r="A297" s="274">
        <v>293</v>
      </c>
      <c r="B297" s="222" t="s">
        <v>1858</v>
      </c>
      <c r="C297" s="272">
        <v>2046412.5000000002</v>
      </c>
      <c r="D297" s="20">
        <f t="shared" si="20"/>
        <v>2047000</v>
      </c>
      <c r="E297" s="20">
        <f t="shared" si="21"/>
        <v>2252000</v>
      </c>
      <c r="F297" s="20">
        <f t="shared" si="22"/>
        <v>2477000</v>
      </c>
      <c r="G297" s="20">
        <f t="shared" si="23"/>
        <v>2724000</v>
      </c>
      <c r="H297" s="20">
        <f t="shared" si="24"/>
        <v>2997000</v>
      </c>
    </row>
    <row r="298" spans="1:8">
      <c r="A298" s="274">
        <v>294</v>
      </c>
      <c r="B298" s="222" t="s">
        <v>1859</v>
      </c>
      <c r="C298" s="273">
        <v>279056.80000000005</v>
      </c>
      <c r="D298" s="20">
        <f t="shared" si="20"/>
        <v>280000</v>
      </c>
      <c r="E298" s="20">
        <f t="shared" si="21"/>
        <v>307000</v>
      </c>
      <c r="F298" s="20">
        <f t="shared" si="22"/>
        <v>338000</v>
      </c>
      <c r="G298" s="20">
        <f t="shared" si="23"/>
        <v>372000</v>
      </c>
      <c r="H298" s="20">
        <f t="shared" si="24"/>
        <v>409000</v>
      </c>
    </row>
    <row r="299" spans="1:8">
      <c r="A299" s="274">
        <v>295</v>
      </c>
      <c r="B299" s="222" t="s">
        <v>1860</v>
      </c>
      <c r="C299" s="272">
        <v>140663.6</v>
      </c>
      <c r="D299" s="20">
        <f t="shared" si="20"/>
        <v>141000</v>
      </c>
      <c r="E299" s="20">
        <f t="shared" si="21"/>
        <v>155000</v>
      </c>
      <c r="F299" s="20">
        <f t="shared" si="22"/>
        <v>171000</v>
      </c>
      <c r="G299" s="20">
        <f t="shared" si="23"/>
        <v>188000</v>
      </c>
      <c r="H299" s="20">
        <f t="shared" si="24"/>
        <v>206000</v>
      </c>
    </row>
    <row r="300" spans="1:8">
      <c r="A300" s="274">
        <v>296</v>
      </c>
      <c r="B300" s="222" t="s">
        <v>1861</v>
      </c>
      <c r="C300" s="273">
        <v>140662.5</v>
      </c>
      <c r="D300" s="20">
        <f t="shared" si="20"/>
        <v>141000</v>
      </c>
      <c r="E300" s="20">
        <f t="shared" si="21"/>
        <v>155000</v>
      </c>
      <c r="F300" s="20">
        <f t="shared" si="22"/>
        <v>171000</v>
      </c>
      <c r="G300" s="20">
        <f t="shared" si="23"/>
        <v>188000</v>
      </c>
      <c r="H300" s="20">
        <f t="shared" si="24"/>
        <v>206000</v>
      </c>
    </row>
    <row r="301" spans="1:8">
      <c r="A301" s="274">
        <v>297</v>
      </c>
      <c r="B301" s="222" t="s">
        <v>1862</v>
      </c>
      <c r="C301" s="272">
        <v>1268080</v>
      </c>
      <c r="D301" s="20">
        <f t="shared" si="20"/>
        <v>1269000</v>
      </c>
      <c r="E301" s="20">
        <f t="shared" si="21"/>
        <v>1395000</v>
      </c>
      <c r="F301" s="20">
        <f t="shared" si="22"/>
        <v>1535000</v>
      </c>
      <c r="G301" s="20">
        <f t="shared" si="23"/>
        <v>1688000</v>
      </c>
      <c r="H301" s="20">
        <f t="shared" si="24"/>
        <v>1857000</v>
      </c>
    </row>
    <row r="302" spans="1:8">
      <c r="A302" s="274">
        <v>298</v>
      </c>
      <c r="B302" s="222" t="s">
        <v>1863</v>
      </c>
      <c r="C302" s="273">
        <v>1268231.8</v>
      </c>
      <c r="D302" s="20">
        <f t="shared" si="20"/>
        <v>1269000</v>
      </c>
      <c r="E302" s="20">
        <f t="shared" si="21"/>
        <v>1396000</v>
      </c>
      <c r="F302" s="20">
        <f t="shared" si="22"/>
        <v>1535000</v>
      </c>
      <c r="G302" s="20">
        <f t="shared" si="23"/>
        <v>1689000</v>
      </c>
      <c r="H302" s="20">
        <f t="shared" si="24"/>
        <v>1857000</v>
      </c>
    </row>
    <row r="303" spans="1:8">
      <c r="A303" s="274">
        <v>299</v>
      </c>
      <c r="B303" s="222" t="s">
        <v>1864</v>
      </c>
      <c r="C303" s="272">
        <v>279059</v>
      </c>
      <c r="D303" s="20">
        <f t="shared" si="20"/>
        <v>280000</v>
      </c>
      <c r="E303" s="20">
        <f t="shared" si="21"/>
        <v>307000</v>
      </c>
      <c r="F303" s="20">
        <f t="shared" si="22"/>
        <v>338000</v>
      </c>
      <c r="G303" s="20">
        <f t="shared" si="23"/>
        <v>372000</v>
      </c>
      <c r="H303" s="20">
        <f t="shared" si="24"/>
        <v>409000</v>
      </c>
    </row>
    <row r="304" spans="1:8">
      <c r="A304" s="274">
        <v>300</v>
      </c>
      <c r="B304" s="222" t="s">
        <v>1865</v>
      </c>
      <c r="C304" s="273">
        <v>279056.80000000005</v>
      </c>
      <c r="D304" s="20">
        <f t="shared" si="20"/>
        <v>280000</v>
      </c>
      <c r="E304" s="20">
        <f t="shared" si="21"/>
        <v>307000</v>
      </c>
      <c r="F304" s="20">
        <f t="shared" si="22"/>
        <v>338000</v>
      </c>
      <c r="G304" s="20">
        <f t="shared" si="23"/>
        <v>372000</v>
      </c>
      <c r="H304" s="20">
        <f t="shared" si="24"/>
        <v>409000</v>
      </c>
    </row>
    <row r="305" spans="1:8">
      <c r="A305" s="274">
        <v>301</v>
      </c>
      <c r="B305" s="222" t="s">
        <v>1866</v>
      </c>
      <c r="C305" s="272">
        <v>419870.00000000006</v>
      </c>
      <c r="D305" s="20">
        <f t="shared" si="20"/>
        <v>420000</v>
      </c>
      <c r="E305" s="20">
        <f t="shared" si="21"/>
        <v>462000</v>
      </c>
      <c r="F305" s="20">
        <f t="shared" si="22"/>
        <v>509000</v>
      </c>
      <c r="G305" s="20">
        <f t="shared" si="23"/>
        <v>559000</v>
      </c>
      <c r="H305" s="20">
        <f t="shared" si="24"/>
        <v>615000</v>
      </c>
    </row>
    <row r="306" spans="1:8">
      <c r="A306" s="274">
        <v>302</v>
      </c>
      <c r="B306" s="222" t="s">
        <v>1867</v>
      </c>
      <c r="C306" s="273">
        <v>419870.00000000006</v>
      </c>
      <c r="D306" s="20">
        <f t="shared" si="20"/>
        <v>420000</v>
      </c>
      <c r="E306" s="20">
        <f t="shared" si="21"/>
        <v>462000</v>
      </c>
      <c r="F306" s="20">
        <f t="shared" si="22"/>
        <v>509000</v>
      </c>
      <c r="G306" s="20">
        <f t="shared" si="23"/>
        <v>559000</v>
      </c>
      <c r="H306" s="20">
        <f t="shared" si="24"/>
        <v>615000</v>
      </c>
    </row>
    <row r="307" spans="1:8">
      <c r="A307" s="274">
        <v>303</v>
      </c>
      <c r="B307" s="222" t="s">
        <v>1868</v>
      </c>
      <c r="C307" s="272">
        <v>279059</v>
      </c>
      <c r="D307" s="20">
        <f t="shared" si="20"/>
        <v>280000</v>
      </c>
      <c r="E307" s="20">
        <f t="shared" si="21"/>
        <v>307000</v>
      </c>
      <c r="F307" s="20">
        <f t="shared" si="22"/>
        <v>338000</v>
      </c>
      <c r="G307" s="20">
        <f t="shared" si="23"/>
        <v>372000</v>
      </c>
      <c r="H307" s="20">
        <f t="shared" si="24"/>
        <v>409000</v>
      </c>
    </row>
    <row r="308" spans="1:8">
      <c r="A308" s="274">
        <v>304</v>
      </c>
      <c r="B308" s="222" t="s">
        <v>1869</v>
      </c>
      <c r="C308" s="273">
        <v>279056.80000000005</v>
      </c>
      <c r="D308" s="20">
        <f t="shared" si="20"/>
        <v>280000</v>
      </c>
      <c r="E308" s="20">
        <f t="shared" si="21"/>
        <v>307000</v>
      </c>
      <c r="F308" s="20">
        <f t="shared" si="22"/>
        <v>338000</v>
      </c>
      <c r="G308" s="20">
        <f t="shared" si="23"/>
        <v>372000</v>
      </c>
      <c r="H308" s="20">
        <f t="shared" si="24"/>
        <v>409000</v>
      </c>
    </row>
    <row r="309" spans="1:8">
      <c r="A309" s="274">
        <v>305</v>
      </c>
      <c r="B309" s="222" t="s">
        <v>1870</v>
      </c>
      <c r="C309" s="272">
        <v>1100000</v>
      </c>
      <c r="D309" s="20">
        <f t="shared" si="20"/>
        <v>1100000</v>
      </c>
      <c r="E309" s="20">
        <f t="shared" si="21"/>
        <v>1210000</v>
      </c>
      <c r="F309" s="20">
        <f t="shared" si="22"/>
        <v>1331000</v>
      </c>
      <c r="G309" s="20">
        <f t="shared" si="23"/>
        <v>1465000</v>
      </c>
      <c r="H309" s="20">
        <f t="shared" si="24"/>
        <v>1611000</v>
      </c>
    </row>
    <row r="310" spans="1:8">
      <c r="A310" s="274">
        <v>306</v>
      </c>
      <c r="B310" s="222" t="s">
        <v>1871</v>
      </c>
      <c r="C310" s="273">
        <v>176962.5</v>
      </c>
      <c r="D310" s="20">
        <f t="shared" si="20"/>
        <v>177000</v>
      </c>
      <c r="E310" s="20">
        <f t="shared" si="21"/>
        <v>195000</v>
      </c>
      <c r="F310" s="20">
        <f t="shared" si="22"/>
        <v>215000</v>
      </c>
      <c r="G310" s="20">
        <f t="shared" si="23"/>
        <v>236000</v>
      </c>
      <c r="H310" s="20">
        <f t="shared" si="24"/>
        <v>260000</v>
      </c>
    </row>
    <row r="311" spans="1:8">
      <c r="A311" s="274">
        <v>307</v>
      </c>
      <c r="B311" s="222" t="s">
        <v>1872</v>
      </c>
      <c r="C311" s="272">
        <v>701250</v>
      </c>
      <c r="D311" s="20">
        <f t="shared" si="20"/>
        <v>702000</v>
      </c>
      <c r="E311" s="20">
        <f t="shared" si="21"/>
        <v>772000</v>
      </c>
      <c r="F311" s="20">
        <f t="shared" si="22"/>
        <v>849000</v>
      </c>
      <c r="G311" s="20">
        <f t="shared" si="23"/>
        <v>934000</v>
      </c>
      <c r="H311" s="20">
        <f t="shared" si="24"/>
        <v>1027000</v>
      </c>
    </row>
    <row r="312" spans="1:8">
      <c r="A312" s="274">
        <v>308</v>
      </c>
      <c r="B312" s="222" t="s">
        <v>1873</v>
      </c>
      <c r="C312" s="273">
        <v>278304.40000000002</v>
      </c>
      <c r="D312" s="20">
        <f t="shared" si="20"/>
        <v>279000</v>
      </c>
      <c r="E312" s="20">
        <f t="shared" si="21"/>
        <v>307000</v>
      </c>
      <c r="F312" s="20">
        <f t="shared" si="22"/>
        <v>337000</v>
      </c>
      <c r="G312" s="20">
        <f t="shared" si="23"/>
        <v>371000</v>
      </c>
      <c r="H312" s="20">
        <f t="shared" si="24"/>
        <v>408000</v>
      </c>
    </row>
    <row r="313" spans="1:8">
      <c r="A313" s="274">
        <v>309</v>
      </c>
      <c r="B313" s="222" t="s">
        <v>1874</v>
      </c>
      <c r="C313" s="272">
        <v>279056.80000000005</v>
      </c>
      <c r="D313" s="20">
        <f t="shared" si="20"/>
        <v>280000</v>
      </c>
      <c r="E313" s="20">
        <f t="shared" si="21"/>
        <v>307000</v>
      </c>
      <c r="F313" s="20">
        <f t="shared" si="22"/>
        <v>338000</v>
      </c>
      <c r="G313" s="20">
        <f t="shared" si="23"/>
        <v>372000</v>
      </c>
      <c r="H313" s="20">
        <f t="shared" si="24"/>
        <v>409000</v>
      </c>
    </row>
    <row r="314" spans="1:8">
      <c r="A314" s="274">
        <v>310</v>
      </c>
      <c r="B314" s="222" t="s">
        <v>1875</v>
      </c>
      <c r="C314" s="273">
        <v>698775</v>
      </c>
      <c r="D314" s="20">
        <f t="shared" si="20"/>
        <v>699000</v>
      </c>
      <c r="E314" s="20">
        <f t="shared" si="21"/>
        <v>769000</v>
      </c>
      <c r="F314" s="20">
        <f t="shared" si="22"/>
        <v>846000</v>
      </c>
      <c r="G314" s="20">
        <f t="shared" si="23"/>
        <v>931000</v>
      </c>
      <c r="H314" s="20">
        <f t="shared" si="24"/>
        <v>1024000</v>
      </c>
    </row>
    <row r="315" spans="1:8">
      <c r="A315" s="274">
        <v>311</v>
      </c>
      <c r="B315" s="222" t="s">
        <v>1876</v>
      </c>
      <c r="C315" s="272">
        <v>89994.3</v>
      </c>
      <c r="D315" s="20">
        <f t="shared" si="20"/>
        <v>90000</v>
      </c>
      <c r="E315" s="20">
        <f t="shared" si="21"/>
        <v>99000</v>
      </c>
      <c r="F315" s="20">
        <f t="shared" si="22"/>
        <v>109000</v>
      </c>
      <c r="G315" s="20">
        <f t="shared" si="23"/>
        <v>120000</v>
      </c>
      <c r="H315" s="20">
        <f t="shared" si="24"/>
        <v>132000</v>
      </c>
    </row>
    <row r="316" spans="1:8">
      <c r="A316" s="274">
        <v>312</v>
      </c>
      <c r="B316" s="222" t="s">
        <v>1877</v>
      </c>
      <c r="C316" s="273">
        <v>191331.80000000002</v>
      </c>
      <c r="D316" s="20">
        <f t="shared" si="20"/>
        <v>192000</v>
      </c>
      <c r="E316" s="20">
        <f t="shared" si="21"/>
        <v>211000</v>
      </c>
      <c r="F316" s="20">
        <f t="shared" si="22"/>
        <v>232000</v>
      </c>
      <c r="G316" s="20">
        <f t="shared" si="23"/>
        <v>255000</v>
      </c>
      <c r="H316" s="20">
        <f t="shared" si="24"/>
        <v>281000</v>
      </c>
    </row>
    <row r="317" spans="1:8">
      <c r="A317" s="274">
        <v>313</v>
      </c>
      <c r="B317" s="222" t="s">
        <v>1878</v>
      </c>
      <c r="C317" s="272">
        <v>232169.30000000002</v>
      </c>
      <c r="D317" s="20">
        <f t="shared" si="20"/>
        <v>233000</v>
      </c>
      <c r="E317" s="20">
        <f t="shared" si="21"/>
        <v>256000</v>
      </c>
      <c r="F317" s="20">
        <f t="shared" si="22"/>
        <v>281000</v>
      </c>
      <c r="G317" s="20">
        <f t="shared" si="23"/>
        <v>310000</v>
      </c>
      <c r="H317" s="20">
        <f t="shared" si="24"/>
        <v>340000</v>
      </c>
    </row>
    <row r="318" spans="1:8">
      <c r="A318" s="274">
        <v>314</v>
      </c>
      <c r="B318" s="222" t="s">
        <v>1879</v>
      </c>
      <c r="C318" s="273">
        <v>232169.30000000002</v>
      </c>
      <c r="D318" s="20">
        <f t="shared" si="20"/>
        <v>233000</v>
      </c>
      <c r="E318" s="20">
        <f t="shared" si="21"/>
        <v>256000</v>
      </c>
      <c r="F318" s="20">
        <f t="shared" si="22"/>
        <v>281000</v>
      </c>
      <c r="G318" s="20">
        <f t="shared" si="23"/>
        <v>310000</v>
      </c>
      <c r="H318" s="20">
        <f t="shared" si="24"/>
        <v>340000</v>
      </c>
    </row>
    <row r="319" spans="1:8">
      <c r="A319" s="274">
        <v>315</v>
      </c>
      <c r="B319" s="222" t="s">
        <v>1880</v>
      </c>
      <c r="C319" s="272">
        <v>1268231.8</v>
      </c>
      <c r="D319" s="20">
        <f t="shared" si="20"/>
        <v>1269000</v>
      </c>
      <c r="E319" s="20">
        <f t="shared" si="21"/>
        <v>1396000</v>
      </c>
      <c r="F319" s="20">
        <f t="shared" si="22"/>
        <v>1535000</v>
      </c>
      <c r="G319" s="20">
        <f t="shared" si="23"/>
        <v>1689000</v>
      </c>
      <c r="H319" s="20">
        <f t="shared" si="24"/>
        <v>1857000</v>
      </c>
    </row>
    <row r="320" spans="1:8">
      <c r="A320" s="274">
        <v>316</v>
      </c>
      <c r="B320" s="222" t="s">
        <v>1881</v>
      </c>
      <c r="C320" s="273">
        <v>691969.3</v>
      </c>
      <c r="D320" s="20">
        <f t="shared" si="20"/>
        <v>692000</v>
      </c>
      <c r="E320" s="20">
        <f t="shared" si="21"/>
        <v>762000</v>
      </c>
      <c r="F320" s="20">
        <f t="shared" si="22"/>
        <v>838000</v>
      </c>
      <c r="G320" s="20">
        <f t="shared" si="23"/>
        <v>922000</v>
      </c>
      <c r="H320" s="20">
        <f t="shared" si="24"/>
        <v>1014000</v>
      </c>
    </row>
    <row r="321" spans="1:8">
      <c r="A321" s="274">
        <v>317</v>
      </c>
      <c r="B321" s="222" t="s">
        <v>1882</v>
      </c>
      <c r="C321" s="272">
        <v>37812.5</v>
      </c>
      <c r="D321" s="20">
        <f t="shared" si="20"/>
        <v>38000</v>
      </c>
      <c r="E321" s="20">
        <f t="shared" si="21"/>
        <v>42000</v>
      </c>
      <c r="F321" s="20">
        <f t="shared" si="22"/>
        <v>46000</v>
      </c>
      <c r="G321" s="20">
        <f t="shared" si="23"/>
        <v>51000</v>
      </c>
      <c r="H321" s="20">
        <f t="shared" si="24"/>
        <v>56000</v>
      </c>
    </row>
    <row r="322" spans="1:8">
      <c r="A322" s="274">
        <v>318</v>
      </c>
      <c r="B322" s="222" t="s">
        <v>1883</v>
      </c>
      <c r="C322" s="273">
        <v>101640.00000000001</v>
      </c>
      <c r="D322" s="20">
        <f t="shared" si="20"/>
        <v>102000</v>
      </c>
      <c r="E322" s="20">
        <f t="shared" si="21"/>
        <v>112000</v>
      </c>
      <c r="F322" s="20">
        <f t="shared" si="22"/>
        <v>123000</v>
      </c>
      <c r="G322" s="20">
        <f t="shared" si="23"/>
        <v>136000</v>
      </c>
      <c r="H322" s="20">
        <f t="shared" si="24"/>
        <v>149000</v>
      </c>
    </row>
    <row r="323" spans="1:8">
      <c r="A323" s="274">
        <v>319</v>
      </c>
      <c r="B323" s="222" t="s">
        <v>1884</v>
      </c>
      <c r="C323" s="272">
        <v>101337.50000000001</v>
      </c>
      <c r="D323" s="20">
        <f t="shared" si="20"/>
        <v>102000</v>
      </c>
      <c r="E323" s="20">
        <f t="shared" si="21"/>
        <v>112000</v>
      </c>
      <c r="F323" s="20">
        <f t="shared" si="22"/>
        <v>123000</v>
      </c>
      <c r="G323" s="20">
        <f t="shared" si="23"/>
        <v>135000</v>
      </c>
      <c r="H323" s="20">
        <f t="shared" si="24"/>
        <v>149000</v>
      </c>
    </row>
    <row r="324" spans="1:8">
      <c r="A324" s="274">
        <v>320</v>
      </c>
      <c r="B324" s="222" t="s">
        <v>1885</v>
      </c>
      <c r="C324" s="273">
        <v>2444200</v>
      </c>
      <c r="D324" s="20">
        <f t="shared" si="20"/>
        <v>2445000</v>
      </c>
      <c r="E324" s="20">
        <f t="shared" si="21"/>
        <v>2689000</v>
      </c>
      <c r="F324" s="20">
        <f t="shared" si="22"/>
        <v>2958000</v>
      </c>
      <c r="G324" s="20">
        <f t="shared" si="23"/>
        <v>3254000</v>
      </c>
      <c r="H324" s="20">
        <f t="shared" si="24"/>
        <v>3579000</v>
      </c>
    </row>
    <row r="325" spans="1:8">
      <c r="A325" s="274">
        <v>321</v>
      </c>
      <c r="B325" s="222" t="s">
        <v>1886</v>
      </c>
      <c r="C325" s="272">
        <v>83494.400000000009</v>
      </c>
      <c r="D325" s="20">
        <f t="shared" si="20"/>
        <v>84000</v>
      </c>
      <c r="E325" s="20">
        <f t="shared" si="21"/>
        <v>92000</v>
      </c>
      <c r="F325" s="20">
        <f t="shared" si="22"/>
        <v>102000</v>
      </c>
      <c r="G325" s="20">
        <f t="shared" si="23"/>
        <v>112000</v>
      </c>
      <c r="H325" s="20">
        <f t="shared" si="24"/>
        <v>123000</v>
      </c>
    </row>
    <row r="326" spans="1:8">
      <c r="A326" s="274">
        <v>322</v>
      </c>
      <c r="B326" s="222" t="s">
        <v>1887</v>
      </c>
      <c r="C326" s="273">
        <v>83187.5</v>
      </c>
      <c r="D326" s="20">
        <f t="shared" ref="D326:D387" si="25">ROUNDUP(C326,-3)</f>
        <v>84000</v>
      </c>
      <c r="E326" s="20">
        <f t="shared" ref="E326:E387" si="26">ROUNDUP($C326*1.1,-3)</f>
        <v>92000</v>
      </c>
      <c r="F326" s="20">
        <f t="shared" ref="F326:F387" si="27">ROUNDUP($C326*1.1*1.1,-3)</f>
        <v>101000</v>
      </c>
      <c r="G326" s="20">
        <f t="shared" ref="G326:G387" si="28">ROUNDUP($C326*1.1*1.1*1.1,-3)</f>
        <v>111000</v>
      </c>
      <c r="H326" s="20">
        <f t="shared" ref="H326:H387" si="29">ROUNDUP($C326*1.1*1.1*1.1*1.1,-3)</f>
        <v>122000</v>
      </c>
    </row>
    <row r="327" spans="1:8">
      <c r="A327" s="274">
        <v>323</v>
      </c>
      <c r="B327" s="222" t="s">
        <v>1888</v>
      </c>
      <c r="C327" s="272">
        <v>149737.5</v>
      </c>
      <c r="D327" s="20">
        <f t="shared" si="25"/>
        <v>150000</v>
      </c>
      <c r="E327" s="20">
        <f t="shared" si="26"/>
        <v>165000</v>
      </c>
      <c r="F327" s="20">
        <f t="shared" si="27"/>
        <v>182000</v>
      </c>
      <c r="G327" s="20">
        <f t="shared" si="28"/>
        <v>200000</v>
      </c>
      <c r="H327" s="20">
        <f t="shared" si="29"/>
        <v>220000</v>
      </c>
    </row>
    <row r="328" spans="1:8">
      <c r="A328" s="274">
        <v>324</v>
      </c>
      <c r="B328" s="222" t="s">
        <v>1889</v>
      </c>
      <c r="C328" s="273">
        <v>279812.5</v>
      </c>
      <c r="D328" s="20">
        <f t="shared" si="25"/>
        <v>280000</v>
      </c>
      <c r="E328" s="20">
        <f t="shared" si="26"/>
        <v>308000</v>
      </c>
      <c r="F328" s="20">
        <f t="shared" si="27"/>
        <v>339000</v>
      </c>
      <c r="G328" s="20">
        <f t="shared" si="28"/>
        <v>373000</v>
      </c>
      <c r="H328" s="20">
        <f t="shared" si="29"/>
        <v>410000</v>
      </c>
    </row>
    <row r="329" spans="1:8">
      <c r="A329" s="274">
        <v>325</v>
      </c>
      <c r="B329" s="222" t="s">
        <v>1890</v>
      </c>
      <c r="C329" s="272">
        <v>110000.00000000001</v>
      </c>
      <c r="D329" s="20">
        <f t="shared" si="25"/>
        <v>110000</v>
      </c>
      <c r="E329" s="20">
        <f t="shared" si="26"/>
        <v>121000</v>
      </c>
      <c r="F329" s="20">
        <f t="shared" si="27"/>
        <v>134000</v>
      </c>
      <c r="G329" s="20">
        <f t="shared" si="28"/>
        <v>147000</v>
      </c>
      <c r="H329" s="20">
        <f t="shared" si="29"/>
        <v>162000</v>
      </c>
    </row>
    <row r="330" spans="1:8">
      <c r="A330" s="274">
        <v>326</v>
      </c>
      <c r="B330" s="222" t="s">
        <v>1891</v>
      </c>
      <c r="C330" s="273">
        <v>127050.00000000001</v>
      </c>
      <c r="D330" s="20">
        <f t="shared" si="25"/>
        <v>128000</v>
      </c>
      <c r="E330" s="20">
        <f t="shared" si="26"/>
        <v>140000</v>
      </c>
      <c r="F330" s="20">
        <f t="shared" si="27"/>
        <v>154000</v>
      </c>
      <c r="G330" s="20">
        <f t="shared" si="28"/>
        <v>170000</v>
      </c>
      <c r="H330" s="20">
        <f t="shared" si="29"/>
        <v>187000</v>
      </c>
    </row>
    <row r="331" spans="1:8">
      <c r="A331" s="274">
        <v>327</v>
      </c>
      <c r="B331" s="222" t="s">
        <v>1892</v>
      </c>
      <c r="C331" s="272">
        <v>127050.00000000001</v>
      </c>
      <c r="D331" s="20">
        <f t="shared" si="25"/>
        <v>128000</v>
      </c>
      <c r="E331" s="20">
        <f t="shared" si="26"/>
        <v>140000</v>
      </c>
      <c r="F331" s="20">
        <f t="shared" si="27"/>
        <v>154000</v>
      </c>
      <c r="G331" s="20">
        <f t="shared" si="28"/>
        <v>170000</v>
      </c>
      <c r="H331" s="20">
        <f t="shared" si="29"/>
        <v>187000</v>
      </c>
    </row>
    <row r="332" spans="1:8">
      <c r="A332" s="274">
        <v>328</v>
      </c>
      <c r="B332" s="222" t="s">
        <v>1893</v>
      </c>
      <c r="C332" s="273">
        <v>127050.00000000001</v>
      </c>
      <c r="D332" s="20">
        <f t="shared" si="25"/>
        <v>128000</v>
      </c>
      <c r="E332" s="20">
        <f t="shared" si="26"/>
        <v>140000</v>
      </c>
      <c r="F332" s="20">
        <f t="shared" si="27"/>
        <v>154000</v>
      </c>
      <c r="G332" s="20">
        <f t="shared" si="28"/>
        <v>170000</v>
      </c>
      <c r="H332" s="20">
        <f t="shared" si="29"/>
        <v>187000</v>
      </c>
    </row>
    <row r="333" spans="1:8">
      <c r="A333" s="274">
        <v>329</v>
      </c>
      <c r="B333" s="222" t="s">
        <v>1894</v>
      </c>
      <c r="C333" s="272">
        <v>127050.00000000001</v>
      </c>
      <c r="D333" s="20">
        <f t="shared" si="25"/>
        <v>128000</v>
      </c>
      <c r="E333" s="20">
        <f t="shared" si="26"/>
        <v>140000</v>
      </c>
      <c r="F333" s="20">
        <f t="shared" si="27"/>
        <v>154000</v>
      </c>
      <c r="G333" s="20">
        <f t="shared" si="28"/>
        <v>170000</v>
      </c>
      <c r="H333" s="20">
        <f t="shared" si="29"/>
        <v>187000</v>
      </c>
    </row>
    <row r="334" spans="1:8">
      <c r="A334" s="274">
        <v>330</v>
      </c>
      <c r="B334" s="222" t="s">
        <v>1895</v>
      </c>
      <c r="C334" s="273">
        <v>7378731.8000000007</v>
      </c>
      <c r="D334" s="20">
        <f t="shared" si="25"/>
        <v>7379000</v>
      </c>
      <c r="E334" s="20">
        <f t="shared" si="26"/>
        <v>8117000</v>
      </c>
      <c r="F334" s="20">
        <f t="shared" si="27"/>
        <v>8929000</v>
      </c>
      <c r="G334" s="20">
        <f t="shared" si="28"/>
        <v>9822000</v>
      </c>
      <c r="H334" s="20">
        <f t="shared" si="29"/>
        <v>10804000</v>
      </c>
    </row>
    <row r="335" spans="1:8">
      <c r="A335" s="274">
        <v>331</v>
      </c>
      <c r="B335" s="222" t="s">
        <v>1896</v>
      </c>
      <c r="C335" s="272">
        <v>127050.00000000001</v>
      </c>
      <c r="D335" s="20">
        <f t="shared" si="25"/>
        <v>128000</v>
      </c>
      <c r="E335" s="20">
        <f t="shared" si="26"/>
        <v>140000</v>
      </c>
      <c r="F335" s="20">
        <f t="shared" si="27"/>
        <v>154000</v>
      </c>
      <c r="G335" s="20">
        <f t="shared" si="28"/>
        <v>170000</v>
      </c>
      <c r="H335" s="20">
        <f t="shared" si="29"/>
        <v>187000</v>
      </c>
    </row>
    <row r="336" spans="1:8">
      <c r="A336" s="274">
        <v>332</v>
      </c>
      <c r="B336" s="222" t="s">
        <v>1897</v>
      </c>
      <c r="C336" s="273">
        <v>127050.00000000001</v>
      </c>
      <c r="D336" s="20">
        <f t="shared" si="25"/>
        <v>128000</v>
      </c>
      <c r="E336" s="20">
        <f t="shared" si="26"/>
        <v>140000</v>
      </c>
      <c r="F336" s="20">
        <f t="shared" si="27"/>
        <v>154000</v>
      </c>
      <c r="G336" s="20">
        <f t="shared" si="28"/>
        <v>170000</v>
      </c>
      <c r="H336" s="20">
        <f t="shared" si="29"/>
        <v>187000</v>
      </c>
    </row>
    <row r="337" spans="1:8">
      <c r="A337" s="274">
        <v>333</v>
      </c>
      <c r="B337" s="222" t="s">
        <v>1898</v>
      </c>
      <c r="C337" s="272">
        <v>127050.00000000001</v>
      </c>
      <c r="D337" s="20">
        <f t="shared" si="25"/>
        <v>128000</v>
      </c>
      <c r="E337" s="20">
        <f t="shared" si="26"/>
        <v>140000</v>
      </c>
      <c r="F337" s="20">
        <f t="shared" si="27"/>
        <v>154000</v>
      </c>
      <c r="G337" s="20">
        <f t="shared" si="28"/>
        <v>170000</v>
      </c>
      <c r="H337" s="20">
        <f t="shared" si="29"/>
        <v>187000</v>
      </c>
    </row>
    <row r="338" spans="1:8">
      <c r="A338" s="274">
        <v>334</v>
      </c>
      <c r="B338" s="222" t="s">
        <v>1899</v>
      </c>
      <c r="C338" s="273">
        <v>127050.00000000001</v>
      </c>
      <c r="D338" s="20">
        <f t="shared" si="25"/>
        <v>128000</v>
      </c>
      <c r="E338" s="20">
        <f t="shared" si="26"/>
        <v>140000</v>
      </c>
      <c r="F338" s="20">
        <f t="shared" si="27"/>
        <v>154000</v>
      </c>
      <c r="G338" s="20">
        <f t="shared" si="28"/>
        <v>170000</v>
      </c>
      <c r="H338" s="20">
        <f t="shared" si="29"/>
        <v>187000</v>
      </c>
    </row>
    <row r="339" spans="1:8">
      <c r="A339" s="274">
        <v>335</v>
      </c>
      <c r="B339" s="222" t="s">
        <v>1900</v>
      </c>
      <c r="C339" s="272">
        <v>228387.50000000003</v>
      </c>
      <c r="D339" s="20">
        <f t="shared" si="25"/>
        <v>229000</v>
      </c>
      <c r="E339" s="20">
        <f t="shared" si="26"/>
        <v>252000</v>
      </c>
      <c r="F339" s="20">
        <f t="shared" si="27"/>
        <v>277000</v>
      </c>
      <c r="G339" s="20">
        <f t="shared" si="28"/>
        <v>304000</v>
      </c>
      <c r="H339" s="20">
        <f t="shared" si="29"/>
        <v>335000</v>
      </c>
    </row>
    <row r="340" spans="1:8">
      <c r="A340" s="274">
        <v>336</v>
      </c>
      <c r="B340" s="222" t="s">
        <v>1901</v>
      </c>
      <c r="C340" s="273">
        <v>2541000</v>
      </c>
      <c r="D340" s="20">
        <f t="shared" si="25"/>
        <v>2541000</v>
      </c>
      <c r="E340" s="20">
        <f t="shared" si="26"/>
        <v>2796000</v>
      </c>
      <c r="F340" s="20">
        <f t="shared" si="27"/>
        <v>3075000</v>
      </c>
      <c r="G340" s="20">
        <f t="shared" si="28"/>
        <v>3383000</v>
      </c>
      <c r="H340" s="20">
        <f t="shared" si="29"/>
        <v>3721000</v>
      </c>
    </row>
    <row r="341" spans="1:8">
      <c r="A341" s="274">
        <v>337</v>
      </c>
      <c r="B341" s="222" t="s">
        <v>1902</v>
      </c>
      <c r="C341" s="272">
        <v>39325</v>
      </c>
      <c r="D341" s="20">
        <f t="shared" si="25"/>
        <v>40000</v>
      </c>
      <c r="E341" s="20">
        <f t="shared" si="26"/>
        <v>44000</v>
      </c>
      <c r="F341" s="20">
        <f t="shared" si="27"/>
        <v>48000</v>
      </c>
      <c r="G341" s="20">
        <f t="shared" si="28"/>
        <v>53000</v>
      </c>
      <c r="H341" s="20">
        <f t="shared" si="29"/>
        <v>58000</v>
      </c>
    </row>
    <row r="342" spans="1:8">
      <c r="A342" s="274">
        <v>338</v>
      </c>
      <c r="B342" s="222" t="s">
        <v>1903</v>
      </c>
      <c r="C342" s="273">
        <v>698775</v>
      </c>
      <c r="D342" s="20">
        <f t="shared" si="25"/>
        <v>699000</v>
      </c>
      <c r="E342" s="20">
        <f t="shared" si="26"/>
        <v>769000</v>
      </c>
      <c r="F342" s="20">
        <f t="shared" si="27"/>
        <v>846000</v>
      </c>
      <c r="G342" s="20">
        <f t="shared" si="28"/>
        <v>931000</v>
      </c>
      <c r="H342" s="20">
        <f t="shared" si="29"/>
        <v>1024000</v>
      </c>
    </row>
    <row r="343" spans="1:8">
      <c r="A343" s="274">
        <v>339</v>
      </c>
      <c r="B343" s="222" t="s">
        <v>1904</v>
      </c>
      <c r="C343" s="272">
        <v>1153281.8</v>
      </c>
      <c r="D343" s="20">
        <f t="shared" si="25"/>
        <v>1154000</v>
      </c>
      <c r="E343" s="20">
        <f t="shared" si="26"/>
        <v>1269000</v>
      </c>
      <c r="F343" s="20">
        <f t="shared" si="27"/>
        <v>1396000</v>
      </c>
      <c r="G343" s="20">
        <f t="shared" si="28"/>
        <v>1536000</v>
      </c>
      <c r="H343" s="20">
        <f t="shared" si="29"/>
        <v>1689000</v>
      </c>
    </row>
    <row r="344" spans="1:8">
      <c r="A344" s="274">
        <v>340</v>
      </c>
      <c r="B344" s="222" t="s">
        <v>1905</v>
      </c>
      <c r="C344" s="273">
        <v>69575</v>
      </c>
      <c r="D344" s="20">
        <f t="shared" si="25"/>
        <v>70000</v>
      </c>
      <c r="E344" s="20">
        <f t="shared" si="26"/>
        <v>77000</v>
      </c>
      <c r="F344" s="20">
        <f t="shared" si="27"/>
        <v>85000</v>
      </c>
      <c r="G344" s="20">
        <f t="shared" si="28"/>
        <v>93000</v>
      </c>
      <c r="H344" s="20">
        <f t="shared" si="29"/>
        <v>102000</v>
      </c>
    </row>
    <row r="345" spans="1:8">
      <c r="A345" s="274">
        <v>341</v>
      </c>
      <c r="B345" s="222" t="s">
        <v>1906</v>
      </c>
      <c r="C345" s="272">
        <v>1100000</v>
      </c>
      <c r="D345" s="20">
        <f t="shared" si="25"/>
        <v>1100000</v>
      </c>
      <c r="E345" s="20">
        <f t="shared" si="26"/>
        <v>1210000</v>
      </c>
      <c r="F345" s="20">
        <f t="shared" si="27"/>
        <v>1331000</v>
      </c>
      <c r="G345" s="20">
        <f t="shared" si="28"/>
        <v>1465000</v>
      </c>
      <c r="H345" s="20">
        <f t="shared" si="29"/>
        <v>1611000</v>
      </c>
    </row>
    <row r="346" spans="1:8">
      <c r="A346" s="274">
        <v>342</v>
      </c>
      <c r="B346" s="222" t="s">
        <v>1907</v>
      </c>
      <c r="C346" s="273">
        <v>2200000</v>
      </c>
      <c r="D346" s="20">
        <f t="shared" si="25"/>
        <v>2200000</v>
      </c>
      <c r="E346" s="20">
        <f t="shared" si="26"/>
        <v>2420000</v>
      </c>
      <c r="F346" s="20">
        <f t="shared" si="27"/>
        <v>2662000</v>
      </c>
      <c r="G346" s="20">
        <f t="shared" si="28"/>
        <v>2929000</v>
      </c>
      <c r="H346" s="20">
        <f t="shared" si="29"/>
        <v>3222000</v>
      </c>
    </row>
    <row r="347" spans="1:8">
      <c r="A347" s="274">
        <v>343</v>
      </c>
      <c r="B347" s="222" t="s">
        <v>1908</v>
      </c>
      <c r="C347" s="272">
        <v>165000</v>
      </c>
      <c r="D347" s="20">
        <f t="shared" si="25"/>
        <v>165000</v>
      </c>
      <c r="E347" s="20">
        <f t="shared" si="26"/>
        <v>182000</v>
      </c>
      <c r="F347" s="20">
        <f t="shared" si="27"/>
        <v>200000</v>
      </c>
      <c r="G347" s="20">
        <f t="shared" si="28"/>
        <v>220000</v>
      </c>
      <c r="H347" s="20">
        <f t="shared" si="29"/>
        <v>242000</v>
      </c>
    </row>
    <row r="348" spans="1:8">
      <c r="A348" s="274">
        <v>344</v>
      </c>
      <c r="B348" s="222" t="s">
        <v>1909</v>
      </c>
      <c r="C348" s="273">
        <v>39325</v>
      </c>
      <c r="D348" s="20">
        <f t="shared" si="25"/>
        <v>40000</v>
      </c>
      <c r="E348" s="20">
        <f t="shared" si="26"/>
        <v>44000</v>
      </c>
      <c r="F348" s="20">
        <f t="shared" si="27"/>
        <v>48000</v>
      </c>
      <c r="G348" s="20">
        <f t="shared" si="28"/>
        <v>53000</v>
      </c>
      <c r="H348" s="20">
        <f t="shared" si="29"/>
        <v>58000</v>
      </c>
    </row>
    <row r="349" spans="1:8">
      <c r="A349" s="274">
        <v>345</v>
      </c>
      <c r="B349" s="222" t="s">
        <v>1910</v>
      </c>
      <c r="C349" s="272">
        <v>76381.8</v>
      </c>
      <c r="D349" s="20">
        <f t="shared" si="25"/>
        <v>77000</v>
      </c>
      <c r="E349" s="20">
        <f t="shared" si="26"/>
        <v>85000</v>
      </c>
      <c r="F349" s="20">
        <f t="shared" si="27"/>
        <v>93000</v>
      </c>
      <c r="G349" s="20">
        <f t="shared" si="28"/>
        <v>102000</v>
      </c>
      <c r="H349" s="20">
        <f t="shared" si="29"/>
        <v>112000</v>
      </c>
    </row>
    <row r="350" spans="1:8">
      <c r="A350" s="274">
        <v>346</v>
      </c>
      <c r="B350" s="222" t="s">
        <v>1911</v>
      </c>
      <c r="C350" s="273">
        <v>1268231.8</v>
      </c>
      <c r="D350" s="20">
        <f t="shared" si="25"/>
        <v>1269000</v>
      </c>
      <c r="E350" s="20">
        <f t="shared" si="26"/>
        <v>1396000</v>
      </c>
      <c r="F350" s="20">
        <f t="shared" si="27"/>
        <v>1535000</v>
      </c>
      <c r="G350" s="20">
        <f t="shared" si="28"/>
        <v>1689000</v>
      </c>
      <c r="H350" s="20">
        <f t="shared" si="29"/>
        <v>1857000</v>
      </c>
    </row>
    <row r="351" spans="1:8">
      <c r="A351" s="274">
        <v>347</v>
      </c>
      <c r="B351" s="222" t="s">
        <v>1912</v>
      </c>
      <c r="C351" s="272">
        <v>2283119.3000000003</v>
      </c>
      <c r="D351" s="20">
        <f t="shared" si="25"/>
        <v>2284000</v>
      </c>
      <c r="E351" s="20">
        <f t="shared" si="26"/>
        <v>2512000</v>
      </c>
      <c r="F351" s="20">
        <f t="shared" si="27"/>
        <v>2763000</v>
      </c>
      <c r="G351" s="20">
        <f t="shared" si="28"/>
        <v>3039000</v>
      </c>
      <c r="H351" s="20">
        <f t="shared" si="29"/>
        <v>3343000</v>
      </c>
    </row>
    <row r="352" spans="1:8">
      <c r="A352" s="274">
        <v>348</v>
      </c>
      <c r="B352" s="222" t="s">
        <v>1913</v>
      </c>
      <c r="C352" s="273">
        <v>421487.00000000006</v>
      </c>
      <c r="D352" s="20">
        <f t="shared" si="25"/>
        <v>422000</v>
      </c>
      <c r="E352" s="20">
        <f t="shared" si="26"/>
        <v>464000</v>
      </c>
      <c r="F352" s="20">
        <f t="shared" si="27"/>
        <v>510000</v>
      </c>
      <c r="G352" s="20">
        <f t="shared" si="28"/>
        <v>561000</v>
      </c>
      <c r="H352" s="20">
        <f t="shared" si="29"/>
        <v>618000</v>
      </c>
    </row>
    <row r="353" spans="1:8">
      <c r="A353" s="274">
        <v>349</v>
      </c>
      <c r="B353" s="222" t="s">
        <v>1914</v>
      </c>
      <c r="C353" s="272">
        <v>381150.00000000006</v>
      </c>
      <c r="D353" s="20">
        <f t="shared" si="25"/>
        <v>382000</v>
      </c>
      <c r="E353" s="20">
        <f t="shared" si="26"/>
        <v>420000</v>
      </c>
      <c r="F353" s="20">
        <f t="shared" si="27"/>
        <v>462000</v>
      </c>
      <c r="G353" s="20">
        <f t="shared" si="28"/>
        <v>508000</v>
      </c>
      <c r="H353" s="20">
        <f t="shared" si="29"/>
        <v>559000</v>
      </c>
    </row>
    <row r="354" spans="1:8">
      <c r="A354" s="274">
        <v>350</v>
      </c>
      <c r="B354" s="222" t="s">
        <v>1915</v>
      </c>
      <c r="C354" s="273">
        <v>69575</v>
      </c>
      <c r="D354" s="20">
        <f t="shared" si="25"/>
        <v>70000</v>
      </c>
      <c r="E354" s="20">
        <f t="shared" si="26"/>
        <v>77000</v>
      </c>
      <c r="F354" s="20">
        <f t="shared" si="27"/>
        <v>85000</v>
      </c>
      <c r="G354" s="20">
        <f t="shared" si="28"/>
        <v>93000</v>
      </c>
      <c r="H354" s="20">
        <f t="shared" si="29"/>
        <v>102000</v>
      </c>
    </row>
    <row r="355" spans="1:8">
      <c r="A355" s="274">
        <v>351</v>
      </c>
      <c r="B355" s="222" t="s">
        <v>1916</v>
      </c>
      <c r="C355" s="272">
        <v>3667812.5000000005</v>
      </c>
      <c r="D355" s="20">
        <f t="shared" si="25"/>
        <v>3668000</v>
      </c>
      <c r="E355" s="20">
        <f t="shared" si="26"/>
        <v>4035000</v>
      </c>
      <c r="F355" s="20">
        <f t="shared" si="27"/>
        <v>4439000</v>
      </c>
      <c r="G355" s="20">
        <f t="shared" si="28"/>
        <v>4882000</v>
      </c>
      <c r="H355" s="20">
        <f t="shared" si="29"/>
        <v>5371000</v>
      </c>
    </row>
    <row r="356" spans="1:8">
      <c r="A356" s="274">
        <v>352</v>
      </c>
      <c r="B356" s="222" t="s">
        <v>1917</v>
      </c>
      <c r="C356" s="273">
        <v>1153281.8</v>
      </c>
      <c r="D356" s="20">
        <f t="shared" si="25"/>
        <v>1154000</v>
      </c>
      <c r="E356" s="20">
        <f t="shared" si="26"/>
        <v>1269000</v>
      </c>
      <c r="F356" s="20">
        <f t="shared" si="27"/>
        <v>1396000</v>
      </c>
      <c r="G356" s="20">
        <f t="shared" si="28"/>
        <v>1536000</v>
      </c>
      <c r="H356" s="20">
        <f t="shared" si="29"/>
        <v>1689000</v>
      </c>
    </row>
    <row r="357" spans="1:8">
      <c r="A357" s="274">
        <v>353</v>
      </c>
      <c r="B357" s="222" t="s">
        <v>1918</v>
      </c>
      <c r="C357" s="272">
        <v>1649381.8</v>
      </c>
      <c r="D357" s="20">
        <f t="shared" si="25"/>
        <v>1650000</v>
      </c>
      <c r="E357" s="20">
        <f t="shared" si="26"/>
        <v>1815000</v>
      </c>
      <c r="F357" s="20">
        <f t="shared" si="27"/>
        <v>1996000</v>
      </c>
      <c r="G357" s="20">
        <f t="shared" si="28"/>
        <v>2196000</v>
      </c>
      <c r="H357" s="20">
        <f t="shared" si="29"/>
        <v>2415000</v>
      </c>
    </row>
    <row r="358" spans="1:8">
      <c r="A358" s="274">
        <v>354</v>
      </c>
      <c r="B358" s="222" t="s">
        <v>8</v>
      </c>
      <c r="C358" s="273">
        <v>304920</v>
      </c>
      <c r="D358" s="20">
        <f t="shared" si="25"/>
        <v>305000</v>
      </c>
      <c r="E358" s="20">
        <f t="shared" si="26"/>
        <v>336000</v>
      </c>
      <c r="F358" s="20">
        <f t="shared" si="27"/>
        <v>369000</v>
      </c>
      <c r="G358" s="20">
        <f t="shared" si="28"/>
        <v>406000</v>
      </c>
      <c r="H358" s="20">
        <f t="shared" si="29"/>
        <v>447000</v>
      </c>
    </row>
    <row r="359" spans="1:8">
      <c r="A359" s="274">
        <v>355</v>
      </c>
      <c r="B359" s="222" t="s">
        <v>1919</v>
      </c>
      <c r="C359" s="272">
        <v>124630.00000000001</v>
      </c>
      <c r="D359" s="20">
        <f t="shared" si="25"/>
        <v>125000</v>
      </c>
      <c r="E359" s="20">
        <f t="shared" si="26"/>
        <v>138000</v>
      </c>
      <c r="F359" s="20">
        <f t="shared" si="27"/>
        <v>151000</v>
      </c>
      <c r="G359" s="20">
        <f t="shared" si="28"/>
        <v>166000</v>
      </c>
      <c r="H359" s="20">
        <f t="shared" si="29"/>
        <v>183000</v>
      </c>
    </row>
    <row r="360" spans="1:8">
      <c r="A360" s="274">
        <v>356</v>
      </c>
      <c r="B360" s="222" t="s">
        <v>1920</v>
      </c>
      <c r="C360" s="273">
        <v>124630.00000000001</v>
      </c>
      <c r="D360" s="20">
        <f t="shared" si="25"/>
        <v>125000</v>
      </c>
      <c r="E360" s="20">
        <f t="shared" si="26"/>
        <v>138000</v>
      </c>
      <c r="F360" s="20">
        <f t="shared" si="27"/>
        <v>151000</v>
      </c>
      <c r="G360" s="20">
        <f t="shared" si="28"/>
        <v>166000</v>
      </c>
      <c r="H360" s="20">
        <f t="shared" si="29"/>
        <v>183000</v>
      </c>
    </row>
    <row r="361" spans="1:8">
      <c r="A361" s="274">
        <v>357</v>
      </c>
      <c r="B361" s="222" t="s">
        <v>1921</v>
      </c>
      <c r="C361" s="272">
        <v>41595.4</v>
      </c>
      <c r="D361" s="20">
        <f t="shared" si="25"/>
        <v>42000</v>
      </c>
      <c r="E361" s="20">
        <f t="shared" si="26"/>
        <v>46000</v>
      </c>
      <c r="F361" s="20">
        <f t="shared" si="27"/>
        <v>51000</v>
      </c>
      <c r="G361" s="20">
        <f t="shared" si="28"/>
        <v>56000</v>
      </c>
      <c r="H361" s="20">
        <f t="shared" si="29"/>
        <v>61000</v>
      </c>
    </row>
    <row r="362" spans="1:8">
      <c r="A362" s="274">
        <v>358</v>
      </c>
      <c r="B362" s="222" t="s">
        <v>1922</v>
      </c>
      <c r="C362" s="273">
        <v>41594.300000000003</v>
      </c>
      <c r="D362" s="20">
        <f t="shared" si="25"/>
        <v>42000</v>
      </c>
      <c r="E362" s="20">
        <f t="shared" si="26"/>
        <v>46000</v>
      </c>
      <c r="F362" s="20">
        <f t="shared" si="27"/>
        <v>51000</v>
      </c>
      <c r="G362" s="20">
        <f t="shared" si="28"/>
        <v>56000</v>
      </c>
      <c r="H362" s="20">
        <f t="shared" si="29"/>
        <v>61000</v>
      </c>
    </row>
    <row r="363" spans="1:8">
      <c r="A363" s="274">
        <v>359</v>
      </c>
      <c r="B363" s="222" t="s">
        <v>1923</v>
      </c>
      <c r="C363" s="272">
        <v>83490</v>
      </c>
      <c r="D363" s="20">
        <f t="shared" si="25"/>
        <v>84000</v>
      </c>
      <c r="E363" s="20">
        <f t="shared" si="26"/>
        <v>92000</v>
      </c>
      <c r="F363" s="20">
        <f t="shared" si="27"/>
        <v>102000</v>
      </c>
      <c r="G363" s="20">
        <f t="shared" si="28"/>
        <v>112000</v>
      </c>
      <c r="H363" s="20">
        <f t="shared" si="29"/>
        <v>123000</v>
      </c>
    </row>
    <row r="364" spans="1:8">
      <c r="A364" s="274">
        <v>360</v>
      </c>
      <c r="B364" s="222" t="s">
        <v>1924</v>
      </c>
      <c r="C364" s="273">
        <v>83490</v>
      </c>
      <c r="D364" s="20">
        <f t="shared" si="25"/>
        <v>84000</v>
      </c>
      <c r="E364" s="20">
        <f t="shared" si="26"/>
        <v>92000</v>
      </c>
      <c r="F364" s="20">
        <f t="shared" si="27"/>
        <v>102000</v>
      </c>
      <c r="G364" s="20">
        <f t="shared" si="28"/>
        <v>112000</v>
      </c>
      <c r="H364" s="20">
        <f t="shared" si="29"/>
        <v>123000</v>
      </c>
    </row>
    <row r="365" spans="1:8">
      <c r="A365" s="274">
        <v>361</v>
      </c>
      <c r="B365" s="222" t="s">
        <v>1925</v>
      </c>
      <c r="C365" s="272">
        <v>121000.00000000001</v>
      </c>
      <c r="D365" s="20">
        <f t="shared" si="25"/>
        <v>121000</v>
      </c>
      <c r="E365" s="20">
        <f t="shared" si="26"/>
        <v>134000</v>
      </c>
      <c r="F365" s="20">
        <f t="shared" si="27"/>
        <v>147000</v>
      </c>
      <c r="G365" s="20">
        <f t="shared" si="28"/>
        <v>162000</v>
      </c>
      <c r="H365" s="20">
        <f t="shared" si="29"/>
        <v>178000</v>
      </c>
    </row>
    <row r="366" spans="1:8">
      <c r="A366" s="274">
        <v>362</v>
      </c>
      <c r="B366" s="222" t="s">
        <v>9</v>
      </c>
      <c r="C366" s="273">
        <v>157300</v>
      </c>
      <c r="D366" s="20">
        <f t="shared" si="25"/>
        <v>158000</v>
      </c>
      <c r="E366" s="20">
        <f t="shared" si="26"/>
        <v>174000</v>
      </c>
      <c r="F366" s="20">
        <f t="shared" si="27"/>
        <v>191000</v>
      </c>
      <c r="G366" s="20">
        <f t="shared" si="28"/>
        <v>210000</v>
      </c>
      <c r="H366" s="20">
        <f t="shared" si="29"/>
        <v>231000</v>
      </c>
    </row>
    <row r="367" spans="1:8">
      <c r="A367" s="274">
        <v>363</v>
      </c>
      <c r="B367" s="222" t="s">
        <v>1926</v>
      </c>
      <c r="C367" s="272">
        <v>2200000</v>
      </c>
      <c r="D367" s="20">
        <f t="shared" si="25"/>
        <v>2200000</v>
      </c>
      <c r="E367" s="20">
        <f t="shared" si="26"/>
        <v>2420000</v>
      </c>
      <c r="F367" s="20">
        <f t="shared" si="27"/>
        <v>2662000</v>
      </c>
      <c r="G367" s="20">
        <f t="shared" si="28"/>
        <v>2929000</v>
      </c>
      <c r="H367" s="20">
        <f t="shared" si="29"/>
        <v>3222000</v>
      </c>
    </row>
    <row r="368" spans="1:8">
      <c r="A368" s="274">
        <v>364</v>
      </c>
      <c r="B368" s="222" t="s">
        <v>10</v>
      </c>
      <c r="C368" s="273">
        <v>57172500.000000007</v>
      </c>
      <c r="D368" s="20">
        <f t="shared" si="25"/>
        <v>57173000</v>
      </c>
      <c r="E368" s="20">
        <f t="shared" si="26"/>
        <v>62890000</v>
      </c>
      <c r="F368" s="20">
        <f t="shared" si="27"/>
        <v>69179000</v>
      </c>
      <c r="G368" s="20">
        <f t="shared" si="28"/>
        <v>76097000</v>
      </c>
      <c r="H368" s="20">
        <f t="shared" si="29"/>
        <v>83707000</v>
      </c>
    </row>
    <row r="369" spans="1:8">
      <c r="A369" s="274">
        <v>365</v>
      </c>
      <c r="B369" s="222" t="s">
        <v>1927</v>
      </c>
      <c r="C369" s="272">
        <v>1642575.0000000002</v>
      </c>
      <c r="D369" s="20">
        <f t="shared" si="25"/>
        <v>1643000</v>
      </c>
      <c r="E369" s="20">
        <f t="shared" si="26"/>
        <v>1807000</v>
      </c>
      <c r="F369" s="20">
        <f t="shared" si="27"/>
        <v>1988000</v>
      </c>
      <c r="G369" s="20">
        <f t="shared" si="28"/>
        <v>2187000</v>
      </c>
      <c r="H369" s="20">
        <f t="shared" si="29"/>
        <v>2405000</v>
      </c>
    </row>
    <row r="370" spans="1:8">
      <c r="A370" s="274">
        <v>366</v>
      </c>
      <c r="B370" s="222" t="s">
        <v>11</v>
      </c>
      <c r="C370" s="273">
        <v>915062.50000000012</v>
      </c>
      <c r="D370" s="20">
        <f t="shared" si="25"/>
        <v>916000</v>
      </c>
      <c r="E370" s="20">
        <f t="shared" si="26"/>
        <v>1007000</v>
      </c>
      <c r="F370" s="20">
        <f t="shared" si="27"/>
        <v>1108000</v>
      </c>
      <c r="G370" s="20">
        <f t="shared" si="28"/>
        <v>1218000</v>
      </c>
      <c r="H370" s="20">
        <f t="shared" si="29"/>
        <v>1340000</v>
      </c>
    </row>
    <row r="371" spans="1:8">
      <c r="A371" s="274">
        <v>367</v>
      </c>
      <c r="B371" s="222" t="s">
        <v>12</v>
      </c>
      <c r="C371" s="272">
        <v>111925.00000000001</v>
      </c>
      <c r="D371" s="20">
        <f t="shared" si="25"/>
        <v>112000</v>
      </c>
      <c r="E371" s="20">
        <f t="shared" si="26"/>
        <v>124000</v>
      </c>
      <c r="F371" s="20">
        <f t="shared" si="27"/>
        <v>136000</v>
      </c>
      <c r="G371" s="20">
        <f t="shared" si="28"/>
        <v>149000</v>
      </c>
      <c r="H371" s="20">
        <f t="shared" si="29"/>
        <v>164000</v>
      </c>
    </row>
    <row r="372" spans="1:8">
      <c r="A372" s="274">
        <v>368</v>
      </c>
      <c r="B372" s="222" t="s">
        <v>1928</v>
      </c>
      <c r="C372" s="273">
        <v>17018650</v>
      </c>
      <c r="D372" s="20">
        <f t="shared" si="25"/>
        <v>17019000</v>
      </c>
      <c r="E372" s="20">
        <f t="shared" si="26"/>
        <v>18721000</v>
      </c>
      <c r="F372" s="20">
        <f t="shared" si="27"/>
        <v>20593000</v>
      </c>
      <c r="G372" s="20">
        <f t="shared" si="28"/>
        <v>22652000</v>
      </c>
      <c r="H372" s="20">
        <f t="shared" si="29"/>
        <v>24918000</v>
      </c>
    </row>
    <row r="373" spans="1:8">
      <c r="A373" s="274">
        <v>369</v>
      </c>
      <c r="B373" s="222" t="s">
        <v>1929</v>
      </c>
      <c r="C373" s="272">
        <v>41453087.5</v>
      </c>
      <c r="D373" s="20">
        <f t="shared" si="25"/>
        <v>41454000</v>
      </c>
      <c r="E373" s="20">
        <f t="shared" si="26"/>
        <v>45599000</v>
      </c>
      <c r="F373" s="20">
        <f t="shared" si="27"/>
        <v>50159000</v>
      </c>
      <c r="G373" s="20">
        <f t="shared" si="28"/>
        <v>55175000</v>
      </c>
      <c r="H373" s="20">
        <f t="shared" si="29"/>
        <v>60692000</v>
      </c>
    </row>
    <row r="374" spans="1:8">
      <c r="A374" s="274">
        <v>370</v>
      </c>
      <c r="B374" s="222" t="s">
        <v>1930</v>
      </c>
      <c r="C374" s="273">
        <v>17464837.5</v>
      </c>
      <c r="D374" s="20">
        <f t="shared" si="25"/>
        <v>17465000</v>
      </c>
      <c r="E374" s="20">
        <f t="shared" si="26"/>
        <v>19212000</v>
      </c>
      <c r="F374" s="20">
        <f t="shared" si="27"/>
        <v>21133000</v>
      </c>
      <c r="G374" s="20">
        <f t="shared" si="28"/>
        <v>23246000</v>
      </c>
      <c r="H374" s="20">
        <f t="shared" si="29"/>
        <v>25571000</v>
      </c>
    </row>
    <row r="375" spans="1:8">
      <c r="A375" s="274">
        <v>371</v>
      </c>
      <c r="B375" s="222" t="s">
        <v>1931</v>
      </c>
      <c r="C375" s="272">
        <v>275000</v>
      </c>
      <c r="D375" s="20">
        <f t="shared" si="25"/>
        <v>275000</v>
      </c>
      <c r="E375" s="20">
        <f t="shared" si="26"/>
        <v>303000</v>
      </c>
      <c r="F375" s="20">
        <f t="shared" si="27"/>
        <v>333000</v>
      </c>
      <c r="G375" s="20">
        <f t="shared" si="28"/>
        <v>367000</v>
      </c>
      <c r="H375" s="20">
        <f t="shared" si="29"/>
        <v>403000</v>
      </c>
    </row>
    <row r="376" spans="1:8">
      <c r="A376" s="274">
        <v>372</v>
      </c>
      <c r="B376" s="222" t="s">
        <v>1932</v>
      </c>
      <c r="C376" s="273">
        <v>275000</v>
      </c>
      <c r="D376" s="20">
        <f t="shared" si="25"/>
        <v>275000</v>
      </c>
      <c r="E376" s="20">
        <f t="shared" si="26"/>
        <v>303000</v>
      </c>
      <c r="F376" s="20">
        <f t="shared" si="27"/>
        <v>333000</v>
      </c>
      <c r="G376" s="20">
        <f t="shared" si="28"/>
        <v>367000</v>
      </c>
      <c r="H376" s="20">
        <f t="shared" si="29"/>
        <v>403000</v>
      </c>
    </row>
    <row r="377" spans="1:8">
      <c r="A377" s="274">
        <v>373</v>
      </c>
      <c r="B377" s="222" t="s">
        <v>1933</v>
      </c>
      <c r="C377" s="272">
        <v>1725762.5000000002</v>
      </c>
      <c r="D377" s="20">
        <f t="shared" si="25"/>
        <v>1726000</v>
      </c>
      <c r="E377" s="20">
        <f t="shared" si="26"/>
        <v>1899000</v>
      </c>
      <c r="F377" s="20">
        <f t="shared" si="27"/>
        <v>2089000</v>
      </c>
      <c r="G377" s="20">
        <f t="shared" si="28"/>
        <v>2297000</v>
      </c>
      <c r="H377" s="20">
        <f t="shared" si="29"/>
        <v>2527000</v>
      </c>
    </row>
    <row r="378" spans="1:8">
      <c r="A378" s="274">
        <v>374</v>
      </c>
      <c r="B378" s="222" t="s">
        <v>1934</v>
      </c>
      <c r="C378" s="273">
        <v>121000.00000000001</v>
      </c>
      <c r="D378" s="20">
        <f t="shared" si="25"/>
        <v>121000</v>
      </c>
      <c r="E378" s="20">
        <f t="shared" si="26"/>
        <v>134000</v>
      </c>
      <c r="F378" s="20">
        <f t="shared" si="27"/>
        <v>147000</v>
      </c>
      <c r="G378" s="20">
        <f t="shared" si="28"/>
        <v>162000</v>
      </c>
      <c r="H378" s="20">
        <f t="shared" si="29"/>
        <v>178000</v>
      </c>
    </row>
    <row r="379" spans="1:8">
      <c r="A379" s="274">
        <v>375</v>
      </c>
      <c r="B379" s="222" t="s">
        <v>1935</v>
      </c>
      <c r="C379" s="272">
        <v>1090452</v>
      </c>
      <c r="D379" s="20">
        <f t="shared" si="25"/>
        <v>1091000</v>
      </c>
      <c r="E379" s="20">
        <f t="shared" si="26"/>
        <v>1200000</v>
      </c>
      <c r="F379" s="20">
        <f t="shared" si="27"/>
        <v>1320000</v>
      </c>
      <c r="G379" s="20">
        <f t="shared" si="28"/>
        <v>1452000</v>
      </c>
      <c r="H379" s="20">
        <f t="shared" si="29"/>
        <v>1597000</v>
      </c>
    </row>
    <row r="380" spans="1:8">
      <c r="A380" s="274">
        <v>376</v>
      </c>
      <c r="B380" s="222" t="s">
        <v>1936</v>
      </c>
      <c r="C380" s="273">
        <v>1738770.0000000002</v>
      </c>
      <c r="D380" s="20">
        <f t="shared" si="25"/>
        <v>1739000</v>
      </c>
      <c r="E380" s="20">
        <f t="shared" si="26"/>
        <v>1913000</v>
      </c>
      <c r="F380" s="20">
        <f t="shared" si="27"/>
        <v>2104000</v>
      </c>
      <c r="G380" s="20">
        <f t="shared" si="28"/>
        <v>2315000</v>
      </c>
      <c r="H380" s="20">
        <f t="shared" si="29"/>
        <v>2546000</v>
      </c>
    </row>
    <row r="381" spans="1:8">
      <c r="A381" s="274">
        <v>377</v>
      </c>
      <c r="B381" s="222" t="s">
        <v>1937</v>
      </c>
      <c r="C381" s="272">
        <v>1201200</v>
      </c>
      <c r="D381" s="20">
        <f t="shared" si="25"/>
        <v>1202000</v>
      </c>
      <c r="E381" s="20">
        <f t="shared" si="26"/>
        <v>1322000</v>
      </c>
      <c r="F381" s="20">
        <f t="shared" si="27"/>
        <v>1454000</v>
      </c>
      <c r="G381" s="20">
        <f t="shared" si="28"/>
        <v>1599000</v>
      </c>
      <c r="H381" s="20">
        <f t="shared" si="29"/>
        <v>1759000</v>
      </c>
    </row>
    <row r="382" spans="1:8">
      <c r="A382" s="274">
        <v>378</v>
      </c>
      <c r="B382" s="222" t="s">
        <v>1938</v>
      </c>
      <c r="C382" s="273">
        <v>11416350</v>
      </c>
      <c r="D382" s="20">
        <f t="shared" si="25"/>
        <v>11417000</v>
      </c>
      <c r="E382" s="20">
        <f t="shared" si="26"/>
        <v>12558000</v>
      </c>
      <c r="F382" s="20">
        <f t="shared" si="27"/>
        <v>13814000</v>
      </c>
      <c r="G382" s="20">
        <f t="shared" si="28"/>
        <v>15196000</v>
      </c>
      <c r="H382" s="20">
        <f t="shared" si="29"/>
        <v>16715000</v>
      </c>
    </row>
    <row r="383" spans="1:8">
      <c r="A383" s="274">
        <v>379</v>
      </c>
      <c r="B383" s="222" t="s">
        <v>1939</v>
      </c>
      <c r="C383" s="272">
        <v>3811500.0000000005</v>
      </c>
      <c r="D383" s="20">
        <f t="shared" si="25"/>
        <v>3812000</v>
      </c>
      <c r="E383" s="20">
        <f t="shared" si="26"/>
        <v>4193000</v>
      </c>
      <c r="F383" s="20">
        <f t="shared" si="27"/>
        <v>4612000</v>
      </c>
      <c r="G383" s="20">
        <f t="shared" si="28"/>
        <v>5074000</v>
      </c>
      <c r="H383" s="20">
        <f t="shared" si="29"/>
        <v>5581000</v>
      </c>
    </row>
    <row r="384" spans="1:8">
      <c r="A384" s="274">
        <v>380</v>
      </c>
      <c r="B384" s="222" t="s">
        <v>1940</v>
      </c>
      <c r="C384" s="273">
        <v>889350.00000000012</v>
      </c>
      <c r="D384" s="20">
        <f t="shared" si="25"/>
        <v>890000</v>
      </c>
      <c r="E384" s="20">
        <f t="shared" si="26"/>
        <v>979000</v>
      </c>
      <c r="F384" s="20">
        <f t="shared" si="27"/>
        <v>1077000</v>
      </c>
      <c r="G384" s="20">
        <f t="shared" si="28"/>
        <v>1184000</v>
      </c>
      <c r="H384" s="20">
        <f t="shared" si="29"/>
        <v>1303000</v>
      </c>
    </row>
    <row r="385" spans="1:8">
      <c r="A385" s="274">
        <v>381</v>
      </c>
      <c r="B385" s="222" t="s">
        <v>1941</v>
      </c>
      <c r="C385" s="272">
        <v>243512.50000000003</v>
      </c>
      <c r="D385" s="20">
        <f t="shared" si="25"/>
        <v>244000</v>
      </c>
      <c r="E385" s="20">
        <f t="shared" si="26"/>
        <v>268000</v>
      </c>
      <c r="F385" s="20">
        <f t="shared" si="27"/>
        <v>295000</v>
      </c>
      <c r="G385" s="20">
        <f t="shared" si="28"/>
        <v>325000</v>
      </c>
      <c r="H385" s="20">
        <f t="shared" si="29"/>
        <v>357000</v>
      </c>
    </row>
    <row r="386" spans="1:8">
      <c r="A386" s="274">
        <v>382</v>
      </c>
      <c r="B386" s="222" t="s">
        <v>1942</v>
      </c>
      <c r="C386" s="273">
        <v>166375</v>
      </c>
      <c r="D386" s="20">
        <f t="shared" si="25"/>
        <v>167000</v>
      </c>
      <c r="E386" s="20">
        <f t="shared" si="26"/>
        <v>184000</v>
      </c>
      <c r="F386" s="20">
        <f t="shared" si="27"/>
        <v>202000</v>
      </c>
      <c r="G386" s="20">
        <f t="shared" si="28"/>
        <v>222000</v>
      </c>
      <c r="H386" s="20">
        <f t="shared" si="29"/>
        <v>244000</v>
      </c>
    </row>
    <row r="387" spans="1:8">
      <c r="A387" s="274">
        <v>383</v>
      </c>
      <c r="B387" s="222" t="s">
        <v>1943</v>
      </c>
      <c r="C387" s="272">
        <v>110412.50000000001</v>
      </c>
      <c r="D387" s="20">
        <f t="shared" si="25"/>
        <v>111000</v>
      </c>
      <c r="E387" s="20">
        <f t="shared" si="26"/>
        <v>122000</v>
      </c>
      <c r="F387" s="20">
        <f t="shared" si="27"/>
        <v>134000</v>
      </c>
      <c r="G387" s="20">
        <f t="shared" si="28"/>
        <v>147000</v>
      </c>
      <c r="H387" s="20">
        <f t="shared" si="29"/>
        <v>162000</v>
      </c>
    </row>
    <row r="388" spans="1:8">
      <c r="A388" s="274">
        <v>384</v>
      </c>
      <c r="B388" s="222" t="s">
        <v>1944</v>
      </c>
      <c r="C388" s="273">
        <v>330000</v>
      </c>
      <c r="D388" s="20">
        <f t="shared" ref="D388:D451" si="30">ROUNDUP(C388,-3)</f>
        <v>330000</v>
      </c>
      <c r="E388" s="20">
        <f t="shared" ref="E388:E451" si="31">ROUNDUP($C388*1.1,-3)</f>
        <v>363000</v>
      </c>
      <c r="F388" s="20">
        <f t="shared" ref="F388:F451" si="32">ROUNDUP($C388*1.1*1.1,-3)</f>
        <v>400000</v>
      </c>
      <c r="G388" s="20">
        <f t="shared" ref="G388:G451" si="33">ROUNDUP($C388*1.1*1.1*1.1,-3)</f>
        <v>440000</v>
      </c>
      <c r="H388" s="20">
        <f t="shared" ref="H388:H451" si="34">ROUNDUP($C388*1.1*1.1*1.1*1.1,-3)</f>
        <v>484000</v>
      </c>
    </row>
    <row r="389" spans="1:8">
      <c r="A389" s="274">
        <v>385</v>
      </c>
      <c r="B389" s="222" t="s">
        <v>1945</v>
      </c>
      <c r="C389" s="272">
        <v>275000</v>
      </c>
      <c r="D389" s="20">
        <f t="shared" si="30"/>
        <v>275000</v>
      </c>
      <c r="E389" s="20">
        <f t="shared" si="31"/>
        <v>303000</v>
      </c>
      <c r="F389" s="20">
        <f t="shared" si="32"/>
        <v>333000</v>
      </c>
      <c r="G389" s="20">
        <f t="shared" si="33"/>
        <v>367000</v>
      </c>
      <c r="H389" s="20">
        <f t="shared" si="34"/>
        <v>403000</v>
      </c>
    </row>
    <row r="390" spans="1:8">
      <c r="A390" s="274">
        <v>386</v>
      </c>
      <c r="B390" s="222" t="s">
        <v>1946</v>
      </c>
      <c r="C390" s="273">
        <v>960437.50000000012</v>
      </c>
      <c r="D390" s="20">
        <f t="shared" si="30"/>
        <v>961000</v>
      </c>
      <c r="E390" s="20">
        <f t="shared" si="31"/>
        <v>1057000</v>
      </c>
      <c r="F390" s="20">
        <f t="shared" si="32"/>
        <v>1163000</v>
      </c>
      <c r="G390" s="20">
        <f t="shared" si="33"/>
        <v>1279000</v>
      </c>
      <c r="H390" s="20">
        <f t="shared" si="34"/>
        <v>1407000</v>
      </c>
    </row>
    <row r="391" spans="1:8">
      <c r="A391" s="274">
        <v>387</v>
      </c>
      <c r="B391" s="222" t="s">
        <v>1947</v>
      </c>
      <c r="C391" s="272">
        <v>662475</v>
      </c>
      <c r="D391" s="20">
        <f t="shared" si="30"/>
        <v>663000</v>
      </c>
      <c r="E391" s="20">
        <f t="shared" si="31"/>
        <v>729000</v>
      </c>
      <c r="F391" s="20">
        <f t="shared" si="32"/>
        <v>802000</v>
      </c>
      <c r="G391" s="20">
        <f t="shared" si="33"/>
        <v>882000</v>
      </c>
      <c r="H391" s="20">
        <f t="shared" si="34"/>
        <v>970000</v>
      </c>
    </row>
    <row r="392" spans="1:8">
      <c r="A392" s="274">
        <v>388</v>
      </c>
      <c r="B392" s="222" t="s">
        <v>1948</v>
      </c>
      <c r="C392" s="273">
        <v>1925000.0000000002</v>
      </c>
      <c r="D392" s="20">
        <f t="shared" si="30"/>
        <v>1925000</v>
      </c>
      <c r="E392" s="20">
        <f t="shared" si="31"/>
        <v>2118000</v>
      </c>
      <c r="F392" s="20">
        <f t="shared" si="32"/>
        <v>2330000</v>
      </c>
      <c r="G392" s="20">
        <f t="shared" si="33"/>
        <v>2563000</v>
      </c>
      <c r="H392" s="20">
        <f t="shared" si="34"/>
        <v>2819000</v>
      </c>
    </row>
    <row r="393" spans="1:8">
      <c r="A393" s="274">
        <v>389</v>
      </c>
      <c r="B393" s="222" t="s">
        <v>1949</v>
      </c>
      <c r="C393" s="272">
        <v>385000.00000000006</v>
      </c>
      <c r="D393" s="20">
        <f t="shared" si="30"/>
        <v>385000</v>
      </c>
      <c r="E393" s="20">
        <f t="shared" si="31"/>
        <v>424000</v>
      </c>
      <c r="F393" s="20">
        <f t="shared" si="32"/>
        <v>466000</v>
      </c>
      <c r="G393" s="20">
        <f t="shared" si="33"/>
        <v>513000</v>
      </c>
      <c r="H393" s="20">
        <f t="shared" si="34"/>
        <v>564000</v>
      </c>
    </row>
    <row r="394" spans="1:8">
      <c r="A394" s="274">
        <v>390</v>
      </c>
      <c r="B394" s="222" t="s">
        <v>1950</v>
      </c>
      <c r="C394" s="273">
        <v>662475</v>
      </c>
      <c r="D394" s="20">
        <f t="shared" si="30"/>
        <v>663000</v>
      </c>
      <c r="E394" s="20">
        <f t="shared" si="31"/>
        <v>729000</v>
      </c>
      <c r="F394" s="20">
        <f t="shared" si="32"/>
        <v>802000</v>
      </c>
      <c r="G394" s="20">
        <f t="shared" si="33"/>
        <v>882000</v>
      </c>
      <c r="H394" s="20">
        <f t="shared" si="34"/>
        <v>970000</v>
      </c>
    </row>
    <row r="395" spans="1:8">
      <c r="A395" s="274">
        <v>391</v>
      </c>
      <c r="B395" s="222" t="s">
        <v>1951</v>
      </c>
      <c r="C395" s="272">
        <v>644325</v>
      </c>
      <c r="D395" s="20">
        <f t="shared" si="30"/>
        <v>645000</v>
      </c>
      <c r="E395" s="20">
        <f t="shared" si="31"/>
        <v>709000</v>
      </c>
      <c r="F395" s="20">
        <f t="shared" si="32"/>
        <v>780000</v>
      </c>
      <c r="G395" s="20">
        <f t="shared" si="33"/>
        <v>858000</v>
      </c>
      <c r="H395" s="20">
        <f t="shared" si="34"/>
        <v>944000</v>
      </c>
    </row>
    <row r="396" spans="1:8">
      <c r="A396" s="274">
        <v>392</v>
      </c>
      <c r="B396" s="222" t="s">
        <v>1952</v>
      </c>
      <c r="C396" s="273">
        <v>143000</v>
      </c>
      <c r="D396" s="20">
        <f t="shared" si="30"/>
        <v>143000</v>
      </c>
      <c r="E396" s="20">
        <f t="shared" si="31"/>
        <v>158000</v>
      </c>
      <c r="F396" s="20">
        <f t="shared" si="32"/>
        <v>174000</v>
      </c>
      <c r="G396" s="20">
        <f t="shared" si="33"/>
        <v>191000</v>
      </c>
      <c r="H396" s="20">
        <f t="shared" si="34"/>
        <v>210000</v>
      </c>
    </row>
    <row r="397" spans="1:8">
      <c r="A397" s="274">
        <v>393</v>
      </c>
      <c r="B397" s="222" t="s">
        <v>1953</v>
      </c>
      <c r="C397" s="272">
        <v>243512.50000000003</v>
      </c>
      <c r="D397" s="20">
        <f t="shared" si="30"/>
        <v>244000</v>
      </c>
      <c r="E397" s="20">
        <f t="shared" si="31"/>
        <v>268000</v>
      </c>
      <c r="F397" s="20">
        <f t="shared" si="32"/>
        <v>295000</v>
      </c>
      <c r="G397" s="20">
        <f t="shared" si="33"/>
        <v>325000</v>
      </c>
      <c r="H397" s="20">
        <f t="shared" si="34"/>
        <v>357000</v>
      </c>
    </row>
    <row r="398" spans="1:8">
      <c r="A398" s="274">
        <v>394</v>
      </c>
      <c r="B398" s="222" t="s">
        <v>1954</v>
      </c>
      <c r="C398" s="273">
        <v>287375</v>
      </c>
      <c r="D398" s="20">
        <f t="shared" si="30"/>
        <v>288000</v>
      </c>
      <c r="E398" s="20">
        <f t="shared" si="31"/>
        <v>317000</v>
      </c>
      <c r="F398" s="20">
        <f t="shared" si="32"/>
        <v>348000</v>
      </c>
      <c r="G398" s="20">
        <f t="shared" si="33"/>
        <v>383000</v>
      </c>
      <c r="H398" s="20">
        <f t="shared" si="34"/>
        <v>421000</v>
      </c>
    </row>
    <row r="399" spans="1:8">
      <c r="A399" s="274">
        <v>395</v>
      </c>
      <c r="B399" s="222" t="s">
        <v>1955</v>
      </c>
      <c r="C399" s="275">
        <v>279812.5</v>
      </c>
      <c r="D399" s="20">
        <f t="shared" si="30"/>
        <v>280000</v>
      </c>
      <c r="E399" s="20">
        <f t="shared" si="31"/>
        <v>308000</v>
      </c>
      <c r="F399" s="20">
        <f t="shared" si="32"/>
        <v>339000</v>
      </c>
      <c r="G399" s="20">
        <f t="shared" si="33"/>
        <v>373000</v>
      </c>
      <c r="H399" s="20">
        <f t="shared" si="34"/>
        <v>410000</v>
      </c>
    </row>
    <row r="400" spans="1:8">
      <c r="A400" s="274">
        <v>396</v>
      </c>
      <c r="B400" s="222" t="s">
        <v>1956</v>
      </c>
      <c r="C400" s="275">
        <v>524081.80000000005</v>
      </c>
      <c r="D400" s="20">
        <f t="shared" si="30"/>
        <v>525000</v>
      </c>
      <c r="E400" s="20">
        <f t="shared" si="31"/>
        <v>577000</v>
      </c>
      <c r="F400" s="20">
        <f t="shared" si="32"/>
        <v>635000</v>
      </c>
      <c r="G400" s="20">
        <f t="shared" si="33"/>
        <v>698000</v>
      </c>
      <c r="H400" s="20">
        <f t="shared" si="34"/>
        <v>768000</v>
      </c>
    </row>
    <row r="401" spans="1:8">
      <c r="A401" s="274">
        <v>397</v>
      </c>
      <c r="B401" s="222" t="s">
        <v>1957</v>
      </c>
      <c r="C401" s="275">
        <v>174694.30000000002</v>
      </c>
      <c r="D401" s="20">
        <f t="shared" si="30"/>
        <v>175000</v>
      </c>
      <c r="E401" s="20">
        <f t="shared" si="31"/>
        <v>193000</v>
      </c>
      <c r="F401" s="20">
        <f t="shared" si="32"/>
        <v>212000</v>
      </c>
      <c r="G401" s="20">
        <f t="shared" si="33"/>
        <v>233000</v>
      </c>
      <c r="H401" s="20">
        <f t="shared" si="34"/>
        <v>256000</v>
      </c>
    </row>
    <row r="402" spans="1:8">
      <c r="A402" s="274">
        <v>398</v>
      </c>
      <c r="B402" s="222" t="s">
        <v>1958</v>
      </c>
      <c r="C402" s="275">
        <v>349387.5</v>
      </c>
      <c r="D402" s="20">
        <f t="shared" si="30"/>
        <v>350000</v>
      </c>
      <c r="E402" s="20">
        <f t="shared" si="31"/>
        <v>385000</v>
      </c>
      <c r="F402" s="20">
        <f t="shared" si="32"/>
        <v>423000</v>
      </c>
      <c r="G402" s="20">
        <f t="shared" si="33"/>
        <v>466000</v>
      </c>
      <c r="H402" s="20">
        <f t="shared" si="34"/>
        <v>512000</v>
      </c>
    </row>
    <row r="403" spans="1:8">
      <c r="A403" s="274">
        <v>399</v>
      </c>
      <c r="B403" s="222" t="s">
        <v>1959</v>
      </c>
      <c r="C403" s="275">
        <v>558869.30000000005</v>
      </c>
      <c r="D403" s="20">
        <f t="shared" si="30"/>
        <v>559000</v>
      </c>
      <c r="E403" s="20">
        <f t="shared" si="31"/>
        <v>615000</v>
      </c>
      <c r="F403" s="20">
        <f t="shared" si="32"/>
        <v>677000</v>
      </c>
      <c r="G403" s="20">
        <f t="shared" si="33"/>
        <v>744000</v>
      </c>
      <c r="H403" s="20">
        <f t="shared" si="34"/>
        <v>819000</v>
      </c>
    </row>
    <row r="404" spans="1:8">
      <c r="A404" s="274">
        <v>400</v>
      </c>
      <c r="B404" s="222" t="s">
        <v>1960</v>
      </c>
      <c r="C404" s="275">
        <v>279812.5</v>
      </c>
      <c r="D404" s="20">
        <f t="shared" si="30"/>
        <v>280000</v>
      </c>
      <c r="E404" s="20">
        <f t="shared" si="31"/>
        <v>308000</v>
      </c>
      <c r="F404" s="20">
        <f t="shared" si="32"/>
        <v>339000</v>
      </c>
      <c r="G404" s="20">
        <f t="shared" si="33"/>
        <v>373000</v>
      </c>
      <c r="H404" s="20">
        <f t="shared" si="34"/>
        <v>410000</v>
      </c>
    </row>
    <row r="405" spans="1:8">
      <c r="A405" s="274">
        <v>401</v>
      </c>
      <c r="B405" s="222" t="s">
        <v>1961</v>
      </c>
      <c r="C405" s="275">
        <v>418962.50000000006</v>
      </c>
      <c r="D405" s="20">
        <f t="shared" si="30"/>
        <v>419000</v>
      </c>
      <c r="E405" s="20">
        <f t="shared" si="31"/>
        <v>461000</v>
      </c>
      <c r="F405" s="20">
        <f t="shared" si="32"/>
        <v>507000</v>
      </c>
      <c r="G405" s="20">
        <f t="shared" si="33"/>
        <v>558000</v>
      </c>
      <c r="H405" s="20">
        <f t="shared" si="34"/>
        <v>614000</v>
      </c>
    </row>
    <row r="406" spans="1:8">
      <c r="A406" s="274">
        <v>402</v>
      </c>
      <c r="B406" s="222" t="s">
        <v>1962</v>
      </c>
      <c r="C406" s="275">
        <v>209481.80000000002</v>
      </c>
      <c r="D406" s="20">
        <f t="shared" si="30"/>
        <v>210000</v>
      </c>
      <c r="E406" s="20">
        <f t="shared" si="31"/>
        <v>231000</v>
      </c>
      <c r="F406" s="20">
        <f t="shared" si="32"/>
        <v>254000</v>
      </c>
      <c r="G406" s="20">
        <f t="shared" si="33"/>
        <v>279000</v>
      </c>
      <c r="H406" s="20">
        <f t="shared" si="34"/>
        <v>307000</v>
      </c>
    </row>
    <row r="407" spans="1:8">
      <c r="A407" s="274">
        <v>403</v>
      </c>
      <c r="B407" s="222" t="s">
        <v>1963</v>
      </c>
      <c r="C407" s="275">
        <v>279812.5</v>
      </c>
      <c r="D407" s="20">
        <f t="shared" si="30"/>
        <v>280000</v>
      </c>
      <c r="E407" s="20">
        <f t="shared" si="31"/>
        <v>308000</v>
      </c>
      <c r="F407" s="20">
        <f t="shared" si="32"/>
        <v>339000</v>
      </c>
      <c r="G407" s="20">
        <f t="shared" si="33"/>
        <v>373000</v>
      </c>
      <c r="H407" s="20">
        <f t="shared" si="34"/>
        <v>410000</v>
      </c>
    </row>
    <row r="408" spans="1:8">
      <c r="A408" s="274">
        <v>404</v>
      </c>
      <c r="B408" s="222" t="s">
        <v>1964</v>
      </c>
      <c r="C408" s="275">
        <v>349387.5</v>
      </c>
      <c r="D408" s="20">
        <f t="shared" si="30"/>
        <v>350000</v>
      </c>
      <c r="E408" s="20">
        <f t="shared" si="31"/>
        <v>385000</v>
      </c>
      <c r="F408" s="20">
        <f t="shared" si="32"/>
        <v>423000</v>
      </c>
      <c r="G408" s="20">
        <f t="shared" si="33"/>
        <v>466000</v>
      </c>
      <c r="H408" s="20">
        <f t="shared" si="34"/>
        <v>512000</v>
      </c>
    </row>
    <row r="409" spans="1:8">
      <c r="A409" s="274">
        <v>405</v>
      </c>
      <c r="B409" s="222" t="s">
        <v>1965</v>
      </c>
      <c r="C409" s="275">
        <v>418962.50000000006</v>
      </c>
      <c r="D409" s="20">
        <f t="shared" si="30"/>
        <v>419000</v>
      </c>
      <c r="E409" s="20">
        <f t="shared" si="31"/>
        <v>461000</v>
      </c>
      <c r="F409" s="20">
        <f t="shared" si="32"/>
        <v>507000</v>
      </c>
      <c r="G409" s="20">
        <f t="shared" si="33"/>
        <v>558000</v>
      </c>
      <c r="H409" s="20">
        <f t="shared" si="34"/>
        <v>614000</v>
      </c>
    </row>
    <row r="410" spans="1:8">
      <c r="A410" s="274">
        <v>406</v>
      </c>
      <c r="B410" s="222" t="s">
        <v>1966</v>
      </c>
      <c r="C410" s="275">
        <v>629200</v>
      </c>
      <c r="D410" s="20">
        <f t="shared" si="30"/>
        <v>630000</v>
      </c>
      <c r="E410" s="20">
        <f t="shared" si="31"/>
        <v>693000</v>
      </c>
      <c r="F410" s="20">
        <f t="shared" si="32"/>
        <v>762000</v>
      </c>
      <c r="G410" s="20">
        <f t="shared" si="33"/>
        <v>838000</v>
      </c>
      <c r="H410" s="20">
        <f t="shared" si="34"/>
        <v>922000</v>
      </c>
    </row>
    <row r="411" spans="1:8">
      <c r="A411" s="274">
        <v>407</v>
      </c>
      <c r="B411" s="222" t="s">
        <v>1967</v>
      </c>
      <c r="C411" s="275">
        <v>1048162.5000000001</v>
      </c>
      <c r="D411" s="20">
        <f t="shared" si="30"/>
        <v>1049000</v>
      </c>
      <c r="E411" s="20">
        <f t="shared" si="31"/>
        <v>1153000</v>
      </c>
      <c r="F411" s="20">
        <f t="shared" si="32"/>
        <v>1269000</v>
      </c>
      <c r="G411" s="20">
        <f t="shared" si="33"/>
        <v>1396000</v>
      </c>
      <c r="H411" s="20">
        <f t="shared" si="34"/>
        <v>1535000</v>
      </c>
    </row>
    <row r="412" spans="1:8">
      <c r="A412" s="274">
        <v>408</v>
      </c>
      <c r="B412" s="222" t="s">
        <v>1968</v>
      </c>
      <c r="C412" s="275">
        <v>349387.5</v>
      </c>
      <c r="D412" s="20">
        <f t="shared" si="30"/>
        <v>350000</v>
      </c>
      <c r="E412" s="20">
        <f t="shared" si="31"/>
        <v>385000</v>
      </c>
      <c r="F412" s="20">
        <f t="shared" si="32"/>
        <v>423000</v>
      </c>
      <c r="G412" s="20">
        <f t="shared" si="33"/>
        <v>466000</v>
      </c>
      <c r="H412" s="20">
        <f t="shared" si="34"/>
        <v>512000</v>
      </c>
    </row>
    <row r="413" spans="1:8">
      <c r="A413" s="274">
        <v>409</v>
      </c>
      <c r="B413" s="222" t="s">
        <v>1969</v>
      </c>
      <c r="C413" s="275">
        <v>698775</v>
      </c>
      <c r="D413" s="20">
        <f t="shared" si="30"/>
        <v>699000</v>
      </c>
      <c r="E413" s="20">
        <f t="shared" si="31"/>
        <v>769000</v>
      </c>
      <c r="F413" s="20">
        <f t="shared" si="32"/>
        <v>846000</v>
      </c>
      <c r="G413" s="20">
        <f t="shared" si="33"/>
        <v>931000</v>
      </c>
      <c r="H413" s="20">
        <f t="shared" si="34"/>
        <v>1024000</v>
      </c>
    </row>
    <row r="414" spans="1:8">
      <c r="A414" s="274">
        <v>410</v>
      </c>
      <c r="B414" s="222" t="s">
        <v>1970</v>
      </c>
      <c r="C414" s="275">
        <v>558869.30000000005</v>
      </c>
      <c r="D414" s="20">
        <f t="shared" si="30"/>
        <v>559000</v>
      </c>
      <c r="E414" s="20">
        <f t="shared" si="31"/>
        <v>615000</v>
      </c>
      <c r="F414" s="20">
        <f t="shared" si="32"/>
        <v>677000</v>
      </c>
      <c r="G414" s="20">
        <f t="shared" si="33"/>
        <v>744000</v>
      </c>
      <c r="H414" s="20">
        <f t="shared" si="34"/>
        <v>819000</v>
      </c>
    </row>
    <row r="415" spans="1:8">
      <c r="A415" s="274">
        <v>411</v>
      </c>
      <c r="B415" s="222" t="s">
        <v>1971</v>
      </c>
      <c r="C415" s="275">
        <v>698775</v>
      </c>
      <c r="D415" s="20">
        <f t="shared" si="30"/>
        <v>699000</v>
      </c>
      <c r="E415" s="20">
        <f t="shared" si="31"/>
        <v>769000</v>
      </c>
      <c r="F415" s="20">
        <f t="shared" si="32"/>
        <v>846000</v>
      </c>
      <c r="G415" s="20">
        <f t="shared" si="33"/>
        <v>931000</v>
      </c>
      <c r="H415" s="20">
        <f t="shared" si="34"/>
        <v>1024000</v>
      </c>
    </row>
    <row r="416" spans="1:8">
      <c r="A416" s="274">
        <v>412</v>
      </c>
      <c r="B416" s="222" t="s">
        <v>1972</v>
      </c>
      <c r="C416" s="275">
        <v>1397550</v>
      </c>
      <c r="D416" s="20">
        <f t="shared" si="30"/>
        <v>1398000</v>
      </c>
      <c r="E416" s="20">
        <f t="shared" si="31"/>
        <v>1538000</v>
      </c>
      <c r="F416" s="20">
        <f t="shared" si="32"/>
        <v>1692000</v>
      </c>
      <c r="G416" s="20">
        <f t="shared" si="33"/>
        <v>1861000</v>
      </c>
      <c r="H416" s="20">
        <f t="shared" si="34"/>
        <v>2047000</v>
      </c>
    </row>
    <row r="417" spans="1:8">
      <c r="A417" s="274">
        <v>413</v>
      </c>
      <c r="B417" s="222" t="s">
        <v>1973</v>
      </c>
      <c r="C417" s="275">
        <v>838681.8</v>
      </c>
      <c r="D417" s="20">
        <f t="shared" si="30"/>
        <v>839000</v>
      </c>
      <c r="E417" s="20">
        <f t="shared" si="31"/>
        <v>923000</v>
      </c>
      <c r="F417" s="20">
        <f t="shared" si="32"/>
        <v>1015000</v>
      </c>
      <c r="G417" s="20">
        <f t="shared" si="33"/>
        <v>1117000</v>
      </c>
      <c r="H417" s="20">
        <f t="shared" si="34"/>
        <v>1228000</v>
      </c>
    </row>
    <row r="418" spans="1:8">
      <c r="A418" s="274">
        <v>414</v>
      </c>
      <c r="B418" s="222" t="s">
        <v>1974</v>
      </c>
      <c r="C418" s="275">
        <v>440000.00000000006</v>
      </c>
      <c r="D418" s="20">
        <f t="shared" si="30"/>
        <v>440000</v>
      </c>
      <c r="E418" s="20">
        <f t="shared" si="31"/>
        <v>484000</v>
      </c>
      <c r="F418" s="20">
        <f t="shared" si="32"/>
        <v>533000</v>
      </c>
      <c r="G418" s="20">
        <f t="shared" si="33"/>
        <v>586000</v>
      </c>
      <c r="H418" s="20">
        <f t="shared" si="34"/>
        <v>645000</v>
      </c>
    </row>
    <row r="419" spans="1:8">
      <c r="A419" s="274">
        <v>415</v>
      </c>
      <c r="B419" s="222" t="s">
        <v>1975</v>
      </c>
      <c r="C419" s="275">
        <v>558869.30000000005</v>
      </c>
      <c r="D419" s="20">
        <f t="shared" si="30"/>
        <v>559000</v>
      </c>
      <c r="E419" s="20">
        <f t="shared" si="31"/>
        <v>615000</v>
      </c>
      <c r="F419" s="20">
        <f t="shared" si="32"/>
        <v>677000</v>
      </c>
      <c r="G419" s="20">
        <f t="shared" si="33"/>
        <v>744000</v>
      </c>
      <c r="H419" s="20">
        <f t="shared" si="34"/>
        <v>819000</v>
      </c>
    </row>
    <row r="420" spans="1:8">
      <c r="A420" s="274">
        <v>416</v>
      </c>
      <c r="B420" s="222" t="s">
        <v>1976</v>
      </c>
      <c r="C420" s="275">
        <v>279812.5</v>
      </c>
      <c r="D420" s="20">
        <f t="shared" si="30"/>
        <v>280000</v>
      </c>
      <c r="E420" s="20">
        <f t="shared" si="31"/>
        <v>308000</v>
      </c>
      <c r="F420" s="20">
        <f t="shared" si="32"/>
        <v>339000</v>
      </c>
      <c r="G420" s="20">
        <f t="shared" si="33"/>
        <v>373000</v>
      </c>
      <c r="H420" s="20">
        <f t="shared" si="34"/>
        <v>410000</v>
      </c>
    </row>
    <row r="421" spans="1:8">
      <c r="A421" s="274">
        <v>417</v>
      </c>
      <c r="B421" s="222" t="s">
        <v>1977</v>
      </c>
      <c r="C421" s="275">
        <v>418962.50000000006</v>
      </c>
      <c r="D421" s="20">
        <f t="shared" si="30"/>
        <v>419000</v>
      </c>
      <c r="E421" s="20">
        <f t="shared" si="31"/>
        <v>461000</v>
      </c>
      <c r="F421" s="20">
        <f t="shared" si="32"/>
        <v>507000</v>
      </c>
      <c r="G421" s="20">
        <f t="shared" si="33"/>
        <v>558000</v>
      </c>
      <c r="H421" s="20">
        <f t="shared" si="34"/>
        <v>614000</v>
      </c>
    </row>
    <row r="422" spans="1:8">
      <c r="A422" s="274">
        <v>418</v>
      </c>
      <c r="B422" s="222" t="s">
        <v>1978</v>
      </c>
      <c r="C422" s="275">
        <v>8385300.0000000009</v>
      </c>
      <c r="D422" s="20">
        <f t="shared" si="30"/>
        <v>8386000</v>
      </c>
      <c r="E422" s="20">
        <f t="shared" si="31"/>
        <v>9224000</v>
      </c>
      <c r="F422" s="20">
        <f t="shared" si="32"/>
        <v>10147000</v>
      </c>
      <c r="G422" s="20">
        <f t="shared" si="33"/>
        <v>11161000</v>
      </c>
      <c r="H422" s="20">
        <f t="shared" si="34"/>
        <v>12277000</v>
      </c>
    </row>
    <row r="423" spans="1:8">
      <c r="A423" s="274">
        <v>419</v>
      </c>
      <c r="B423" s="222" t="s">
        <v>1979</v>
      </c>
      <c r="C423" s="275">
        <v>43560</v>
      </c>
      <c r="D423" s="20">
        <f t="shared" si="30"/>
        <v>44000</v>
      </c>
      <c r="E423" s="20">
        <f t="shared" si="31"/>
        <v>48000</v>
      </c>
      <c r="F423" s="20">
        <f t="shared" si="32"/>
        <v>53000</v>
      </c>
      <c r="G423" s="20">
        <f t="shared" si="33"/>
        <v>58000</v>
      </c>
      <c r="H423" s="20">
        <f t="shared" si="34"/>
        <v>64000</v>
      </c>
    </row>
    <row r="424" spans="1:8">
      <c r="A424" s="274">
        <v>420</v>
      </c>
      <c r="B424" s="222" t="s">
        <v>1980</v>
      </c>
      <c r="C424" s="275">
        <v>127655.00000000001</v>
      </c>
      <c r="D424" s="20">
        <f t="shared" si="30"/>
        <v>128000</v>
      </c>
      <c r="E424" s="20">
        <f t="shared" si="31"/>
        <v>141000</v>
      </c>
      <c r="F424" s="20">
        <f t="shared" si="32"/>
        <v>155000</v>
      </c>
      <c r="G424" s="20">
        <f t="shared" si="33"/>
        <v>170000</v>
      </c>
      <c r="H424" s="20">
        <f t="shared" si="34"/>
        <v>187000</v>
      </c>
    </row>
    <row r="425" spans="1:8">
      <c r="A425" s="274">
        <v>421</v>
      </c>
      <c r="B425" s="222" t="s">
        <v>1981</v>
      </c>
      <c r="C425" s="275">
        <v>110110.00000000001</v>
      </c>
      <c r="D425" s="20">
        <f t="shared" si="30"/>
        <v>111000</v>
      </c>
      <c r="E425" s="20">
        <f t="shared" si="31"/>
        <v>122000</v>
      </c>
      <c r="F425" s="20">
        <f t="shared" si="32"/>
        <v>134000</v>
      </c>
      <c r="G425" s="20">
        <f t="shared" si="33"/>
        <v>147000</v>
      </c>
      <c r="H425" s="20">
        <f t="shared" si="34"/>
        <v>162000</v>
      </c>
    </row>
    <row r="426" spans="1:8">
      <c r="A426" s="274">
        <v>422</v>
      </c>
      <c r="B426" s="222" t="s">
        <v>1982</v>
      </c>
      <c r="C426" s="275">
        <v>220220.00000000003</v>
      </c>
      <c r="D426" s="20">
        <f t="shared" si="30"/>
        <v>221000</v>
      </c>
      <c r="E426" s="20">
        <f t="shared" si="31"/>
        <v>243000</v>
      </c>
      <c r="F426" s="20">
        <f t="shared" si="32"/>
        <v>267000</v>
      </c>
      <c r="G426" s="20">
        <f t="shared" si="33"/>
        <v>294000</v>
      </c>
      <c r="H426" s="20">
        <f t="shared" si="34"/>
        <v>323000</v>
      </c>
    </row>
    <row r="427" spans="1:8">
      <c r="A427" s="274">
        <v>423</v>
      </c>
      <c r="B427" s="222" t="s">
        <v>1983</v>
      </c>
      <c r="C427" s="275">
        <v>110110.00000000001</v>
      </c>
      <c r="D427" s="20">
        <f t="shared" si="30"/>
        <v>111000</v>
      </c>
      <c r="E427" s="20">
        <f t="shared" si="31"/>
        <v>122000</v>
      </c>
      <c r="F427" s="20">
        <f t="shared" si="32"/>
        <v>134000</v>
      </c>
      <c r="G427" s="20">
        <f t="shared" si="33"/>
        <v>147000</v>
      </c>
      <c r="H427" s="20">
        <f t="shared" si="34"/>
        <v>162000</v>
      </c>
    </row>
    <row r="428" spans="1:8">
      <c r="A428" s="274">
        <v>424</v>
      </c>
      <c r="B428" s="222" t="s">
        <v>1984</v>
      </c>
      <c r="C428" s="275">
        <v>150645</v>
      </c>
      <c r="D428" s="20">
        <f t="shared" si="30"/>
        <v>151000</v>
      </c>
      <c r="E428" s="20">
        <f t="shared" si="31"/>
        <v>166000</v>
      </c>
      <c r="F428" s="20">
        <f t="shared" si="32"/>
        <v>183000</v>
      </c>
      <c r="G428" s="20">
        <f t="shared" si="33"/>
        <v>201000</v>
      </c>
      <c r="H428" s="20">
        <f t="shared" si="34"/>
        <v>221000</v>
      </c>
    </row>
    <row r="429" spans="1:8">
      <c r="A429" s="274">
        <v>425</v>
      </c>
      <c r="B429" s="222" t="s">
        <v>1985</v>
      </c>
      <c r="C429" s="275">
        <v>60500.000000000007</v>
      </c>
      <c r="D429" s="20">
        <f t="shared" si="30"/>
        <v>61000</v>
      </c>
      <c r="E429" s="20">
        <f t="shared" si="31"/>
        <v>67000</v>
      </c>
      <c r="F429" s="20">
        <f t="shared" si="32"/>
        <v>74000</v>
      </c>
      <c r="G429" s="20">
        <f t="shared" si="33"/>
        <v>81000</v>
      </c>
      <c r="H429" s="20">
        <f t="shared" si="34"/>
        <v>89000</v>
      </c>
    </row>
    <row r="430" spans="1:8">
      <c r="A430" s="274">
        <v>426</v>
      </c>
      <c r="B430" s="222" t="s">
        <v>1986</v>
      </c>
      <c r="C430" s="275">
        <v>99825.000000000015</v>
      </c>
      <c r="D430" s="20">
        <f t="shared" si="30"/>
        <v>100000</v>
      </c>
      <c r="E430" s="20">
        <f t="shared" si="31"/>
        <v>110000</v>
      </c>
      <c r="F430" s="20">
        <f t="shared" si="32"/>
        <v>121000</v>
      </c>
      <c r="G430" s="20">
        <f t="shared" si="33"/>
        <v>133000</v>
      </c>
      <c r="H430" s="20">
        <f t="shared" si="34"/>
        <v>147000</v>
      </c>
    </row>
    <row r="431" spans="1:8">
      <c r="A431" s="274">
        <v>427</v>
      </c>
      <c r="B431" s="222" t="s">
        <v>1987</v>
      </c>
      <c r="C431" s="275">
        <v>220220.00000000003</v>
      </c>
      <c r="D431" s="20">
        <f t="shared" si="30"/>
        <v>221000</v>
      </c>
      <c r="E431" s="20">
        <f t="shared" si="31"/>
        <v>243000</v>
      </c>
      <c r="F431" s="20">
        <f t="shared" si="32"/>
        <v>267000</v>
      </c>
      <c r="G431" s="20">
        <f t="shared" si="33"/>
        <v>294000</v>
      </c>
      <c r="H431" s="20">
        <f t="shared" si="34"/>
        <v>323000</v>
      </c>
    </row>
    <row r="432" spans="1:8">
      <c r="A432" s="274">
        <v>428</v>
      </c>
      <c r="B432" s="222" t="s">
        <v>1988</v>
      </c>
      <c r="C432" s="275">
        <v>1099285</v>
      </c>
      <c r="D432" s="20">
        <f t="shared" si="30"/>
        <v>1100000</v>
      </c>
      <c r="E432" s="20">
        <f t="shared" si="31"/>
        <v>1210000</v>
      </c>
      <c r="F432" s="20">
        <f t="shared" si="32"/>
        <v>1331000</v>
      </c>
      <c r="G432" s="20">
        <f t="shared" si="33"/>
        <v>1464000</v>
      </c>
      <c r="H432" s="20">
        <f t="shared" si="34"/>
        <v>1610000</v>
      </c>
    </row>
    <row r="433" spans="1:8">
      <c r="A433" s="274">
        <v>429</v>
      </c>
      <c r="B433" s="222" t="s">
        <v>1989</v>
      </c>
      <c r="C433" s="275">
        <v>1319505</v>
      </c>
      <c r="D433" s="20">
        <f t="shared" si="30"/>
        <v>1320000</v>
      </c>
      <c r="E433" s="20">
        <f t="shared" si="31"/>
        <v>1452000</v>
      </c>
      <c r="F433" s="20">
        <f t="shared" si="32"/>
        <v>1597000</v>
      </c>
      <c r="G433" s="20">
        <f t="shared" si="33"/>
        <v>1757000</v>
      </c>
      <c r="H433" s="20">
        <f t="shared" si="34"/>
        <v>1932000</v>
      </c>
    </row>
    <row r="434" spans="1:8">
      <c r="A434" s="274">
        <v>430</v>
      </c>
      <c r="B434" s="222" t="s">
        <v>1990</v>
      </c>
      <c r="C434" s="275">
        <v>90145</v>
      </c>
      <c r="D434" s="20">
        <f t="shared" si="30"/>
        <v>91000</v>
      </c>
      <c r="E434" s="20">
        <f t="shared" si="31"/>
        <v>100000</v>
      </c>
      <c r="F434" s="20">
        <f t="shared" si="32"/>
        <v>110000</v>
      </c>
      <c r="G434" s="20">
        <f t="shared" si="33"/>
        <v>120000</v>
      </c>
      <c r="H434" s="20">
        <f t="shared" si="34"/>
        <v>132000</v>
      </c>
    </row>
    <row r="435" spans="1:8">
      <c r="A435" s="274">
        <v>431</v>
      </c>
      <c r="B435" s="222" t="s">
        <v>1991</v>
      </c>
      <c r="C435" s="275">
        <v>110110.00000000001</v>
      </c>
      <c r="D435" s="20">
        <f t="shared" si="30"/>
        <v>111000</v>
      </c>
      <c r="E435" s="20">
        <f t="shared" si="31"/>
        <v>122000</v>
      </c>
      <c r="F435" s="20">
        <f t="shared" si="32"/>
        <v>134000</v>
      </c>
      <c r="G435" s="20">
        <f t="shared" si="33"/>
        <v>147000</v>
      </c>
      <c r="H435" s="20">
        <f t="shared" si="34"/>
        <v>162000</v>
      </c>
    </row>
    <row r="436" spans="1:8">
      <c r="A436" s="274">
        <v>432</v>
      </c>
      <c r="B436" s="222" t="s">
        <v>1992</v>
      </c>
      <c r="C436" s="275">
        <v>60500.000000000007</v>
      </c>
      <c r="D436" s="20">
        <f t="shared" si="30"/>
        <v>61000</v>
      </c>
      <c r="E436" s="20">
        <f t="shared" si="31"/>
        <v>67000</v>
      </c>
      <c r="F436" s="20">
        <f t="shared" si="32"/>
        <v>74000</v>
      </c>
      <c r="G436" s="20">
        <f t="shared" si="33"/>
        <v>81000</v>
      </c>
      <c r="H436" s="20">
        <f t="shared" si="34"/>
        <v>89000</v>
      </c>
    </row>
    <row r="437" spans="1:8">
      <c r="A437" s="274">
        <v>433</v>
      </c>
      <c r="B437" s="222" t="s">
        <v>1993</v>
      </c>
      <c r="C437" s="275">
        <v>60500.000000000007</v>
      </c>
      <c r="D437" s="20">
        <f t="shared" si="30"/>
        <v>61000</v>
      </c>
      <c r="E437" s="20">
        <f t="shared" si="31"/>
        <v>67000</v>
      </c>
      <c r="F437" s="20">
        <f t="shared" si="32"/>
        <v>74000</v>
      </c>
      <c r="G437" s="20">
        <f t="shared" si="33"/>
        <v>81000</v>
      </c>
      <c r="H437" s="20">
        <f t="shared" si="34"/>
        <v>89000</v>
      </c>
    </row>
    <row r="438" spans="1:8">
      <c r="A438" s="274">
        <v>434</v>
      </c>
      <c r="B438" s="222" t="s">
        <v>1994</v>
      </c>
      <c r="C438" s="275">
        <v>96800.000000000015</v>
      </c>
      <c r="D438" s="20">
        <f t="shared" si="30"/>
        <v>97000</v>
      </c>
      <c r="E438" s="20">
        <f t="shared" si="31"/>
        <v>107000</v>
      </c>
      <c r="F438" s="20">
        <f t="shared" si="32"/>
        <v>118000</v>
      </c>
      <c r="G438" s="20">
        <f t="shared" si="33"/>
        <v>129000</v>
      </c>
      <c r="H438" s="20">
        <f t="shared" si="34"/>
        <v>142000</v>
      </c>
    </row>
    <row r="439" spans="1:8">
      <c r="A439" s="274">
        <v>435</v>
      </c>
      <c r="B439" s="222" t="s">
        <v>1995</v>
      </c>
      <c r="C439" s="275">
        <v>96800.000000000015</v>
      </c>
      <c r="D439" s="20">
        <f t="shared" si="30"/>
        <v>97000</v>
      </c>
      <c r="E439" s="20">
        <f t="shared" si="31"/>
        <v>107000</v>
      </c>
      <c r="F439" s="20">
        <f t="shared" si="32"/>
        <v>118000</v>
      </c>
      <c r="G439" s="20">
        <f t="shared" si="33"/>
        <v>129000</v>
      </c>
      <c r="H439" s="20">
        <f t="shared" si="34"/>
        <v>142000</v>
      </c>
    </row>
    <row r="440" spans="1:8">
      <c r="A440" s="274">
        <v>436</v>
      </c>
      <c r="B440" s="222" t="s">
        <v>1996</v>
      </c>
      <c r="C440" s="275">
        <v>33880</v>
      </c>
      <c r="D440" s="20">
        <f t="shared" si="30"/>
        <v>34000</v>
      </c>
      <c r="E440" s="20">
        <f t="shared" si="31"/>
        <v>38000</v>
      </c>
      <c r="F440" s="20">
        <f t="shared" si="32"/>
        <v>41000</v>
      </c>
      <c r="G440" s="20">
        <f t="shared" si="33"/>
        <v>46000</v>
      </c>
      <c r="H440" s="20">
        <f t="shared" si="34"/>
        <v>50000</v>
      </c>
    </row>
    <row r="441" spans="1:8">
      <c r="A441" s="274">
        <v>437</v>
      </c>
      <c r="B441" s="222" t="s">
        <v>1997</v>
      </c>
      <c r="C441" s="275">
        <v>66550</v>
      </c>
      <c r="D441" s="20">
        <f t="shared" si="30"/>
        <v>67000</v>
      </c>
      <c r="E441" s="20">
        <f t="shared" si="31"/>
        <v>74000</v>
      </c>
      <c r="F441" s="20">
        <f t="shared" si="32"/>
        <v>81000</v>
      </c>
      <c r="G441" s="20">
        <f t="shared" si="33"/>
        <v>89000</v>
      </c>
      <c r="H441" s="20">
        <f t="shared" si="34"/>
        <v>98000</v>
      </c>
    </row>
    <row r="442" spans="1:8">
      <c r="A442" s="274">
        <v>438</v>
      </c>
      <c r="B442" s="222" t="s">
        <v>1998</v>
      </c>
      <c r="C442" s="275">
        <v>185900.00000000003</v>
      </c>
      <c r="D442" s="20">
        <f t="shared" si="30"/>
        <v>186000</v>
      </c>
      <c r="E442" s="20">
        <f t="shared" si="31"/>
        <v>205000</v>
      </c>
      <c r="F442" s="20">
        <f t="shared" si="32"/>
        <v>225000</v>
      </c>
      <c r="G442" s="20">
        <f t="shared" si="33"/>
        <v>248000</v>
      </c>
      <c r="H442" s="20">
        <f t="shared" si="34"/>
        <v>273000</v>
      </c>
    </row>
    <row r="443" spans="1:8">
      <c r="A443" s="274">
        <v>439</v>
      </c>
      <c r="B443" s="222" t="s">
        <v>1999</v>
      </c>
      <c r="C443" s="275">
        <v>13915.000000000002</v>
      </c>
      <c r="D443" s="20">
        <f t="shared" si="30"/>
        <v>14000</v>
      </c>
      <c r="E443" s="20">
        <f t="shared" si="31"/>
        <v>16000</v>
      </c>
      <c r="F443" s="20">
        <f t="shared" si="32"/>
        <v>17000</v>
      </c>
      <c r="G443" s="20">
        <f t="shared" si="33"/>
        <v>19000</v>
      </c>
      <c r="H443" s="20">
        <f t="shared" si="34"/>
        <v>21000</v>
      </c>
    </row>
    <row r="444" spans="1:8">
      <c r="A444" s="274">
        <v>440</v>
      </c>
      <c r="B444" s="222" t="s">
        <v>2000</v>
      </c>
      <c r="C444" s="275">
        <v>36300</v>
      </c>
      <c r="D444" s="20">
        <f t="shared" si="30"/>
        <v>37000</v>
      </c>
      <c r="E444" s="20">
        <f t="shared" si="31"/>
        <v>40000</v>
      </c>
      <c r="F444" s="20">
        <f t="shared" si="32"/>
        <v>44000</v>
      </c>
      <c r="G444" s="20">
        <f t="shared" si="33"/>
        <v>49000</v>
      </c>
      <c r="H444" s="20">
        <f t="shared" si="34"/>
        <v>54000</v>
      </c>
    </row>
    <row r="445" spans="1:8">
      <c r="A445" s="274">
        <v>441</v>
      </c>
      <c r="B445" s="222" t="s">
        <v>2001</v>
      </c>
      <c r="C445" s="275">
        <v>99825.000000000015</v>
      </c>
      <c r="D445" s="20">
        <f t="shared" si="30"/>
        <v>100000</v>
      </c>
      <c r="E445" s="20">
        <f t="shared" si="31"/>
        <v>110000</v>
      </c>
      <c r="F445" s="20">
        <f t="shared" si="32"/>
        <v>121000</v>
      </c>
      <c r="G445" s="20">
        <f t="shared" si="33"/>
        <v>133000</v>
      </c>
      <c r="H445" s="20">
        <f t="shared" si="34"/>
        <v>147000</v>
      </c>
    </row>
    <row r="446" spans="1:8">
      <c r="A446" s="274">
        <v>442</v>
      </c>
      <c r="B446" s="222" t="s">
        <v>2002</v>
      </c>
      <c r="C446" s="275">
        <v>22385</v>
      </c>
      <c r="D446" s="20">
        <f t="shared" si="30"/>
        <v>23000</v>
      </c>
      <c r="E446" s="20">
        <f t="shared" si="31"/>
        <v>25000</v>
      </c>
      <c r="F446" s="20">
        <f t="shared" si="32"/>
        <v>28000</v>
      </c>
      <c r="G446" s="20">
        <f t="shared" si="33"/>
        <v>30000</v>
      </c>
      <c r="H446" s="20">
        <f t="shared" si="34"/>
        <v>33000</v>
      </c>
    </row>
    <row r="447" spans="1:8">
      <c r="A447" s="274">
        <v>443</v>
      </c>
      <c r="B447" s="222" t="s">
        <v>2003</v>
      </c>
      <c r="C447" s="275">
        <v>22385</v>
      </c>
      <c r="D447" s="20">
        <f t="shared" si="30"/>
        <v>23000</v>
      </c>
      <c r="E447" s="20">
        <f t="shared" si="31"/>
        <v>25000</v>
      </c>
      <c r="F447" s="20">
        <f t="shared" si="32"/>
        <v>28000</v>
      </c>
      <c r="G447" s="20">
        <f t="shared" si="33"/>
        <v>30000</v>
      </c>
      <c r="H447" s="20">
        <f t="shared" si="34"/>
        <v>33000</v>
      </c>
    </row>
    <row r="448" spans="1:8">
      <c r="A448" s="274">
        <v>444</v>
      </c>
      <c r="B448" s="222" t="s">
        <v>2004</v>
      </c>
      <c r="C448" s="275">
        <v>209935.00000000003</v>
      </c>
      <c r="D448" s="20">
        <f t="shared" si="30"/>
        <v>210000</v>
      </c>
      <c r="E448" s="20">
        <f t="shared" si="31"/>
        <v>231000</v>
      </c>
      <c r="F448" s="20">
        <f t="shared" si="32"/>
        <v>255000</v>
      </c>
      <c r="G448" s="20">
        <f t="shared" si="33"/>
        <v>280000</v>
      </c>
      <c r="H448" s="20">
        <f t="shared" si="34"/>
        <v>308000</v>
      </c>
    </row>
    <row r="449" spans="1:8">
      <c r="A449" s="274">
        <v>445</v>
      </c>
      <c r="B449" s="222" t="s">
        <v>2005</v>
      </c>
      <c r="C449" s="275">
        <v>53796.600000000006</v>
      </c>
      <c r="D449" s="20">
        <f t="shared" si="30"/>
        <v>54000</v>
      </c>
      <c r="E449" s="20">
        <f t="shared" si="31"/>
        <v>60000</v>
      </c>
      <c r="F449" s="20">
        <f t="shared" si="32"/>
        <v>66000</v>
      </c>
      <c r="G449" s="20">
        <f t="shared" si="33"/>
        <v>72000</v>
      </c>
      <c r="H449" s="20">
        <f t="shared" si="34"/>
        <v>79000</v>
      </c>
    </row>
    <row r="450" spans="1:8">
      <c r="A450" s="274">
        <v>446</v>
      </c>
      <c r="B450" s="222" t="s">
        <v>2006</v>
      </c>
      <c r="C450" s="275">
        <v>134491.5</v>
      </c>
      <c r="D450" s="20">
        <f t="shared" si="30"/>
        <v>135000</v>
      </c>
      <c r="E450" s="20">
        <f t="shared" si="31"/>
        <v>148000</v>
      </c>
      <c r="F450" s="20">
        <f t="shared" si="32"/>
        <v>163000</v>
      </c>
      <c r="G450" s="20">
        <f t="shared" si="33"/>
        <v>180000</v>
      </c>
      <c r="H450" s="20">
        <f t="shared" si="34"/>
        <v>197000</v>
      </c>
    </row>
    <row r="451" spans="1:8">
      <c r="A451" s="274">
        <v>447</v>
      </c>
      <c r="B451" s="222" t="s">
        <v>2007</v>
      </c>
      <c r="C451" s="275">
        <v>178874.30000000002</v>
      </c>
      <c r="D451" s="20">
        <f t="shared" si="30"/>
        <v>179000</v>
      </c>
      <c r="E451" s="20">
        <f t="shared" si="31"/>
        <v>197000</v>
      </c>
      <c r="F451" s="20">
        <f t="shared" si="32"/>
        <v>217000</v>
      </c>
      <c r="G451" s="20">
        <f t="shared" si="33"/>
        <v>239000</v>
      </c>
      <c r="H451" s="20">
        <f t="shared" si="34"/>
        <v>262000</v>
      </c>
    </row>
    <row r="452" spans="1:8">
      <c r="A452" s="274">
        <v>448</v>
      </c>
      <c r="B452" s="222" t="s">
        <v>2008</v>
      </c>
      <c r="C452" s="275">
        <v>447860.60000000003</v>
      </c>
      <c r="D452" s="20">
        <f t="shared" ref="D452:D515" si="35">ROUNDUP(C452,-3)</f>
        <v>448000</v>
      </c>
      <c r="E452" s="20">
        <f t="shared" ref="E452:E515" si="36">ROUNDUP($C452*1.1,-3)</f>
        <v>493000</v>
      </c>
      <c r="F452" s="20">
        <f t="shared" ref="F452:F515" si="37">ROUNDUP($C452*1.1*1.1,-3)</f>
        <v>542000</v>
      </c>
      <c r="G452" s="20">
        <f t="shared" ref="G452:G515" si="38">ROUNDUP($C452*1.1*1.1*1.1,-3)</f>
        <v>597000</v>
      </c>
      <c r="H452" s="20">
        <f t="shared" ref="H452:H515" si="39">ROUNDUP($C452*1.1*1.1*1.1*1.1,-3)</f>
        <v>656000</v>
      </c>
    </row>
    <row r="453" spans="1:8">
      <c r="A453" s="274">
        <v>449</v>
      </c>
      <c r="B453" s="222" t="s">
        <v>2009</v>
      </c>
      <c r="C453" s="275">
        <v>537966</v>
      </c>
      <c r="D453" s="20">
        <f t="shared" si="35"/>
        <v>538000</v>
      </c>
      <c r="E453" s="20">
        <f t="shared" si="36"/>
        <v>592000</v>
      </c>
      <c r="F453" s="20">
        <f t="shared" si="37"/>
        <v>651000</v>
      </c>
      <c r="G453" s="20">
        <f t="shared" si="38"/>
        <v>717000</v>
      </c>
      <c r="H453" s="20">
        <f t="shared" si="39"/>
        <v>788000</v>
      </c>
    </row>
    <row r="454" spans="1:8">
      <c r="A454" s="274">
        <v>450</v>
      </c>
      <c r="B454" s="222" t="s">
        <v>2010</v>
      </c>
      <c r="C454" s="275">
        <v>423648.50000000006</v>
      </c>
      <c r="D454" s="20">
        <f t="shared" si="35"/>
        <v>424000</v>
      </c>
      <c r="E454" s="20">
        <f t="shared" si="36"/>
        <v>467000</v>
      </c>
      <c r="F454" s="20">
        <f t="shared" si="37"/>
        <v>513000</v>
      </c>
      <c r="G454" s="20">
        <f t="shared" si="38"/>
        <v>564000</v>
      </c>
      <c r="H454" s="20">
        <f t="shared" si="39"/>
        <v>621000</v>
      </c>
    </row>
    <row r="455" spans="1:8">
      <c r="A455" s="274">
        <v>451</v>
      </c>
      <c r="B455" s="222" t="s">
        <v>2011</v>
      </c>
      <c r="C455" s="275">
        <v>1129728.6000000001</v>
      </c>
      <c r="D455" s="20">
        <f t="shared" si="35"/>
        <v>1130000</v>
      </c>
      <c r="E455" s="20">
        <f t="shared" si="36"/>
        <v>1243000</v>
      </c>
      <c r="F455" s="20">
        <f t="shared" si="37"/>
        <v>1367000</v>
      </c>
      <c r="G455" s="20">
        <f t="shared" si="38"/>
        <v>1504000</v>
      </c>
      <c r="H455" s="20">
        <f t="shared" si="39"/>
        <v>1655000</v>
      </c>
    </row>
    <row r="456" spans="1:8">
      <c r="A456" s="274">
        <v>452</v>
      </c>
      <c r="B456" s="222" t="s">
        <v>2012</v>
      </c>
      <c r="C456" s="275">
        <v>212496.90000000002</v>
      </c>
      <c r="D456" s="20">
        <f t="shared" si="35"/>
        <v>213000</v>
      </c>
      <c r="E456" s="20">
        <f t="shared" si="36"/>
        <v>234000</v>
      </c>
      <c r="F456" s="20">
        <f t="shared" si="37"/>
        <v>258000</v>
      </c>
      <c r="G456" s="20">
        <f t="shared" si="38"/>
        <v>283000</v>
      </c>
      <c r="H456" s="20">
        <f t="shared" si="39"/>
        <v>312000</v>
      </c>
    </row>
    <row r="457" spans="1:8">
      <c r="A457" s="274">
        <v>453</v>
      </c>
      <c r="B457" s="222" t="s">
        <v>2013</v>
      </c>
      <c r="C457" s="275">
        <v>1435028.1</v>
      </c>
      <c r="D457" s="20">
        <f t="shared" si="35"/>
        <v>1436000</v>
      </c>
      <c r="E457" s="20">
        <f t="shared" si="36"/>
        <v>1579000</v>
      </c>
      <c r="F457" s="20">
        <f t="shared" si="37"/>
        <v>1737000</v>
      </c>
      <c r="G457" s="20">
        <f t="shared" si="38"/>
        <v>1911000</v>
      </c>
      <c r="H457" s="20">
        <f t="shared" si="39"/>
        <v>2102000</v>
      </c>
    </row>
    <row r="458" spans="1:8">
      <c r="A458" s="274">
        <v>454</v>
      </c>
      <c r="B458" s="222" t="s">
        <v>2014</v>
      </c>
      <c r="C458" s="275">
        <v>143906.40000000002</v>
      </c>
      <c r="D458" s="20">
        <f t="shared" si="35"/>
        <v>144000</v>
      </c>
      <c r="E458" s="20">
        <f t="shared" si="36"/>
        <v>159000</v>
      </c>
      <c r="F458" s="20">
        <f t="shared" si="37"/>
        <v>175000</v>
      </c>
      <c r="G458" s="20">
        <f t="shared" si="38"/>
        <v>192000</v>
      </c>
      <c r="H458" s="20">
        <f t="shared" si="39"/>
        <v>211000</v>
      </c>
    </row>
    <row r="459" spans="1:8">
      <c r="A459" s="274">
        <v>455</v>
      </c>
      <c r="B459" s="222" t="s">
        <v>2015</v>
      </c>
      <c r="C459" s="275">
        <v>80694.900000000009</v>
      </c>
      <c r="D459" s="20">
        <f t="shared" si="35"/>
        <v>81000</v>
      </c>
      <c r="E459" s="20">
        <f t="shared" si="36"/>
        <v>89000</v>
      </c>
      <c r="F459" s="20">
        <f t="shared" si="37"/>
        <v>98000</v>
      </c>
      <c r="G459" s="20">
        <f t="shared" si="38"/>
        <v>108000</v>
      </c>
      <c r="H459" s="20">
        <f t="shared" si="39"/>
        <v>119000</v>
      </c>
    </row>
    <row r="460" spans="1:8">
      <c r="A460" s="274">
        <v>456</v>
      </c>
      <c r="B460" s="222" t="s">
        <v>2016</v>
      </c>
      <c r="C460" s="275">
        <v>107593.20000000001</v>
      </c>
      <c r="D460" s="20">
        <f t="shared" si="35"/>
        <v>108000</v>
      </c>
      <c r="E460" s="20">
        <f t="shared" si="36"/>
        <v>119000</v>
      </c>
      <c r="F460" s="20">
        <f t="shared" si="37"/>
        <v>131000</v>
      </c>
      <c r="G460" s="20">
        <f t="shared" si="38"/>
        <v>144000</v>
      </c>
      <c r="H460" s="20">
        <f t="shared" si="39"/>
        <v>158000</v>
      </c>
    </row>
    <row r="461" spans="1:8">
      <c r="A461" s="274">
        <v>457</v>
      </c>
      <c r="B461" s="222" t="s">
        <v>2017</v>
      </c>
      <c r="C461" s="275">
        <v>430372.80000000005</v>
      </c>
      <c r="D461" s="20">
        <f t="shared" si="35"/>
        <v>431000</v>
      </c>
      <c r="E461" s="20">
        <f t="shared" si="36"/>
        <v>474000</v>
      </c>
      <c r="F461" s="20">
        <f t="shared" si="37"/>
        <v>521000</v>
      </c>
      <c r="G461" s="20">
        <f t="shared" si="38"/>
        <v>573000</v>
      </c>
      <c r="H461" s="20">
        <f t="shared" si="39"/>
        <v>631000</v>
      </c>
    </row>
    <row r="462" spans="1:8">
      <c r="A462" s="274">
        <v>458</v>
      </c>
      <c r="B462" s="222" t="s">
        <v>2018</v>
      </c>
      <c r="C462" s="275">
        <v>537966</v>
      </c>
      <c r="D462" s="20">
        <f t="shared" si="35"/>
        <v>538000</v>
      </c>
      <c r="E462" s="20">
        <f t="shared" si="36"/>
        <v>592000</v>
      </c>
      <c r="F462" s="20">
        <f t="shared" si="37"/>
        <v>651000</v>
      </c>
      <c r="G462" s="20">
        <f t="shared" si="38"/>
        <v>717000</v>
      </c>
      <c r="H462" s="20">
        <f t="shared" si="39"/>
        <v>788000</v>
      </c>
    </row>
    <row r="463" spans="1:8">
      <c r="A463" s="274">
        <v>459</v>
      </c>
      <c r="B463" s="222" t="s">
        <v>2019</v>
      </c>
      <c r="C463" s="275">
        <v>134495.90000000002</v>
      </c>
      <c r="D463" s="20">
        <f t="shared" si="35"/>
        <v>135000</v>
      </c>
      <c r="E463" s="20">
        <f t="shared" si="36"/>
        <v>148000</v>
      </c>
      <c r="F463" s="20">
        <f t="shared" si="37"/>
        <v>163000</v>
      </c>
      <c r="G463" s="20">
        <f t="shared" si="38"/>
        <v>180000</v>
      </c>
      <c r="H463" s="20">
        <f t="shared" si="39"/>
        <v>197000</v>
      </c>
    </row>
    <row r="464" spans="1:8">
      <c r="A464" s="274">
        <v>460</v>
      </c>
      <c r="B464" s="222" t="s">
        <v>2020</v>
      </c>
      <c r="C464" s="275">
        <v>268987.40000000002</v>
      </c>
      <c r="D464" s="20">
        <f t="shared" si="35"/>
        <v>269000</v>
      </c>
      <c r="E464" s="20">
        <f t="shared" si="36"/>
        <v>296000</v>
      </c>
      <c r="F464" s="20">
        <f t="shared" si="37"/>
        <v>326000</v>
      </c>
      <c r="G464" s="20">
        <f t="shared" si="38"/>
        <v>359000</v>
      </c>
      <c r="H464" s="20">
        <f t="shared" si="39"/>
        <v>394000</v>
      </c>
    </row>
    <row r="465" spans="1:8">
      <c r="A465" s="274">
        <v>461</v>
      </c>
      <c r="B465" s="222" t="s">
        <v>2021</v>
      </c>
      <c r="C465" s="275">
        <v>268983</v>
      </c>
      <c r="D465" s="20">
        <f t="shared" si="35"/>
        <v>269000</v>
      </c>
      <c r="E465" s="20">
        <f t="shared" si="36"/>
        <v>296000</v>
      </c>
      <c r="F465" s="20">
        <f t="shared" si="37"/>
        <v>326000</v>
      </c>
      <c r="G465" s="20">
        <f t="shared" si="38"/>
        <v>359000</v>
      </c>
      <c r="H465" s="20">
        <f t="shared" si="39"/>
        <v>394000</v>
      </c>
    </row>
    <row r="466" spans="1:8">
      <c r="A466" s="274">
        <v>462</v>
      </c>
      <c r="B466" s="222" t="s">
        <v>2022</v>
      </c>
      <c r="C466" s="275">
        <v>537966</v>
      </c>
      <c r="D466" s="20">
        <f t="shared" si="35"/>
        <v>538000</v>
      </c>
      <c r="E466" s="20">
        <f t="shared" si="36"/>
        <v>592000</v>
      </c>
      <c r="F466" s="20">
        <f t="shared" si="37"/>
        <v>651000</v>
      </c>
      <c r="G466" s="20">
        <f t="shared" si="38"/>
        <v>717000</v>
      </c>
      <c r="H466" s="20">
        <f t="shared" si="39"/>
        <v>788000</v>
      </c>
    </row>
    <row r="467" spans="1:8">
      <c r="A467" s="274">
        <v>463</v>
      </c>
      <c r="B467" s="222" t="s">
        <v>2023</v>
      </c>
      <c r="C467" s="275">
        <v>447860.60000000003</v>
      </c>
      <c r="D467" s="20">
        <f t="shared" si="35"/>
        <v>448000</v>
      </c>
      <c r="E467" s="20">
        <f t="shared" si="36"/>
        <v>493000</v>
      </c>
      <c r="F467" s="20">
        <f t="shared" si="37"/>
        <v>542000</v>
      </c>
      <c r="G467" s="20">
        <f t="shared" si="38"/>
        <v>597000</v>
      </c>
      <c r="H467" s="20">
        <f t="shared" si="39"/>
        <v>656000</v>
      </c>
    </row>
    <row r="468" spans="1:8">
      <c r="A468" s="274">
        <v>464</v>
      </c>
      <c r="B468" s="222" t="s">
        <v>2024</v>
      </c>
      <c r="C468" s="275">
        <v>178874.30000000002</v>
      </c>
      <c r="D468" s="20">
        <f t="shared" si="35"/>
        <v>179000</v>
      </c>
      <c r="E468" s="20">
        <f t="shared" si="36"/>
        <v>197000</v>
      </c>
      <c r="F468" s="20">
        <f t="shared" si="37"/>
        <v>217000</v>
      </c>
      <c r="G468" s="20">
        <f t="shared" si="38"/>
        <v>239000</v>
      </c>
      <c r="H468" s="20">
        <f t="shared" si="39"/>
        <v>262000</v>
      </c>
    </row>
    <row r="469" spans="1:8" ht="15.75" customHeight="1">
      <c r="A469" s="274">
        <v>465</v>
      </c>
      <c r="B469" s="222" t="s">
        <v>2025</v>
      </c>
      <c r="C469" s="275">
        <v>1615246.6</v>
      </c>
      <c r="D469" s="20">
        <f t="shared" si="35"/>
        <v>1616000</v>
      </c>
      <c r="E469" s="20">
        <f t="shared" si="36"/>
        <v>1777000</v>
      </c>
      <c r="F469" s="20">
        <f t="shared" si="37"/>
        <v>1955000</v>
      </c>
      <c r="G469" s="20">
        <f t="shared" si="38"/>
        <v>2150000</v>
      </c>
      <c r="H469" s="20">
        <f t="shared" si="39"/>
        <v>2365000</v>
      </c>
    </row>
    <row r="470" spans="1:8">
      <c r="A470" s="274">
        <v>466</v>
      </c>
      <c r="B470" s="222" t="s">
        <v>2026</v>
      </c>
      <c r="C470" s="275">
        <v>268987.40000000002</v>
      </c>
      <c r="D470" s="20">
        <f t="shared" si="35"/>
        <v>269000</v>
      </c>
      <c r="E470" s="20">
        <f t="shared" si="36"/>
        <v>296000</v>
      </c>
      <c r="F470" s="20">
        <f t="shared" si="37"/>
        <v>326000</v>
      </c>
      <c r="G470" s="20">
        <f t="shared" si="38"/>
        <v>359000</v>
      </c>
      <c r="H470" s="20">
        <f t="shared" si="39"/>
        <v>394000</v>
      </c>
    </row>
    <row r="471" spans="1:8">
      <c r="A471" s="274">
        <v>467</v>
      </c>
      <c r="B471" s="222" t="s">
        <v>2027</v>
      </c>
      <c r="C471" s="275">
        <v>178874.30000000002</v>
      </c>
      <c r="D471" s="20">
        <f t="shared" si="35"/>
        <v>179000</v>
      </c>
      <c r="E471" s="20">
        <f t="shared" si="36"/>
        <v>197000</v>
      </c>
      <c r="F471" s="20">
        <f t="shared" si="37"/>
        <v>217000</v>
      </c>
      <c r="G471" s="20">
        <f t="shared" si="38"/>
        <v>239000</v>
      </c>
      <c r="H471" s="20">
        <f t="shared" si="39"/>
        <v>262000</v>
      </c>
    </row>
    <row r="472" spans="1:8">
      <c r="A472" s="274">
        <v>468</v>
      </c>
      <c r="B472" s="222" t="s">
        <v>2028</v>
      </c>
      <c r="C472" s="275">
        <v>628079.10000000009</v>
      </c>
      <c r="D472" s="20">
        <f t="shared" si="35"/>
        <v>629000</v>
      </c>
      <c r="E472" s="20">
        <f t="shared" si="36"/>
        <v>691000</v>
      </c>
      <c r="F472" s="20">
        <f t="shared" si="37"/>
        <v>760000</v>
      </c>
      <c r="G472" s="20">
        <f t="shared" si="38"/>
        <v>836000</v>
      </c>
      <c r="H472" s="20">
        <f t="shared" si="39"/>
        <v>920000</v>
      </c>
    </row>
    <row r="473" spans="1:8">
      <c r="A473" s="274">
        <v>469</v>
      </c>
      <c r="B473" s="222" t="s">
        <v>2029</v>
      </c>
      <c r="C473" s="275">
        <v>17224326.900000002</v>
      </c>
      <c r="D473" s="20">
        <f t="shared" si="35"/>
        <v>17225000</v>
      </c>
      <c r="E473" s="20">
        <f t="shared" si="36"/>
        <v>18947000</v>
      </c>
      <c r="F473" s="20">
        <f t="shared" si="37"/>
        <v>20842000</v>
      </c>
      <c r="G473" s="20">
        <f t="shared" si="38"/>
        <v>22926000</v>
      </c>
      <c r="H473" s="20">
        <f t="shared" si="39"/>
        <v>25219000</v>
      </c>
    </row>
    <row r="474" spans="1:8">
      <c r="A474" s="274">
        <v>470</v>
      </c>
      <c r="B474" s="222" t="s">
        <v>2030</v>
      </c>
      <c r="C474" s="275">
        <v>550000</v>
      </c>
      <c r="D474" s="20">
        <f t="shared" si="35"/>
        <v>550000</v>
      </c>
      <c r="E474" s="20">
        <f t="shared" si="36"/>
        <v>605000</v>
      </c>
      <c r="F474" s="20">
        <f t="shared" si="37"/>
        <v>666000</v>
      </c>
      <c r="G474" s="20">
        <f t="shared" si="38"/>
        <v>733000</v>
      </c>
      <c r="H474" s="20">
        <f t="shared" si="39"/>
        <v>806000</v>
      </c>
    </row>
    <row r="475" spans="1:8">
      <c r="A475" s="274">
        <v>471</v>
      </c>
      <c r="B475" s="222" t="s">
        <v>2031</v>
      </c>
      <c r="C475" s="275">
        <v>447860.60000000003</v>
      </c>
      <c r="D475" s="20">
        <f t="shared" si="35"/>
        <v>448000</v>
      </c>
      <c r="E475" s="20">
        <f t="shared" si="36"/>
        <v>493000</v>
      </c>
      <c r="F475" s="20">
        <f t="shared" si="37"/>
        <v>542000</v>
      </c>
      <c r="G475" s="20">
        <f t="shared" si="38"/>
        <v>597000</v>
      </c>
      <c r="H475" s="20">
        <f t="shared" si="39"/>
        <v>656000</v>
      </c>
    </row>
    <row r="476" spans="1:8">
      <c r="A476" s="274">
        <v>472</v>
      </c>
      <c r="B476" s="222" t="s">
        <v>2032</v>
      </c>
      <c r="C476" s="275">
        <v>268987.40000000002</v>
      </c>
      <c r="D476" s="20">
        <f t="shared" si="35"/>
        <v>269000</v>
      </c>
      <c r="E476" s="20">
        <f t="shared" si="36"/>
        <v>296000</v>
      </c>
      <c r="F476" s="20">
        <f t="shared" si="37"/>
        <v>326000</v>
      </c>
      <c r="G476" s="20">
        <f t="shared" si="38"/>
        <v>359000</v>
      </c>
      <c r="H476" s="20">
        <f t="shared" si="39"/>
        <v>394000</v>
      </c>
    </row>
    <row r="477" spans="1:8">
      <c r="A477" s="274">
        <v>473</v>
      </c>
      <c r="B477" s="222" t="s">
        <v>2033</v>
      </c>
      <c r="C477" s="275">
        <v>880000.00000000012</v>
      </c>
      <c r="D477" s="20">
        <f t="shared" si="35"/>
        <v>880000</v>
      </c>
      <c r="E477" s="20">
        <f t="shared" si="36"/>
        <v>968000</v>
      </c>
      <c r="F477" s="20">
        <f t="shared" si="37"/>
        <v>1065000</v>
      </c>
      <c r="G477" s="20">
        <f t="shared" si="38"/>
        <v>1172000</v>
      </c>
      <c r="H477" s="20">
        <f t="shared" si="39"/>
        <v>1289000</v>
      </c>
    </row>
    <row r="478" spans="1:8">
      <c r="A478" s="274">
        <v>474</v>
      </c>
      <c r="B478" s="222" t="s">
        <v>2034</v>
      </c>
      <c r="C478" s="275">
        <v>537966</v>
      </c>
      <c r="D478" s="20">
        <f t="shared" si="35"/>
        <v>538000</v>
      </c>
      <c r="E478" s="20">
        <f t="shared" si="36"/>
        <v>592000</v>
      </c>
      <c r="F478" s="20">
        <f t="shared" si="37"/>
        <v>651000</v>
      </c>
      <c r="G478" s="20">
        <f t="shared" si="38"/>
        <v>717000</v>
      </c>
      <c r="H478" s="20">
        <f t="shared" si="39"/>
        <v>788000</v>
      </c>
    </row>
    <row r="479" spans="1:8">
      <c r="A479" s="274">
        <v>475</v>
      </c>
      <c r="B479" s="222" t="s">
        <v>2035</v>
      </c>
      <c r="C479" s="275">
        <v>359092.80000000005</v>
      </c>
      <c r="D479" s="20">
        <f t="shared" si="35"/>
        <v>360000</v>
      </c>
      <c r="E479" s="20">
        <f t="shared" si="36"/>
        <v>396000</v>
      </c>
      <c r="F479" s="20">
        <f t="shared" si="37"/>
        <v>435000</v>
      </c>
      <c r="G479" s="20">
        <f t="shared" si="38"/>
        <v>478000</v>
      </c>
      <c r="H479" s="20">
        <f t="shared" si="39"/>
        <v>526000</v>
      </c>
    </row>
    <row r="480" spans="1:8">
      <c r="A480" s="274">
        <v>476</v>
      </c>
      <c r="B480" s="222" t="s">
        <v>2036</v>
      </c>
      <c r="C480" s="275">
        <v>268987.40000000002</v>
      </c>
      <c r="D480" s="20">
        <f t="shared" si="35"/>
        <v>269000</v>
      </c>
      <c r="E480" s="20">
        <f t="shared" si="36"/>
        <v>296000</v>
      </c>
      <c r="F480" s="20">
        <f t="shared" si="37"/>
        <v>326000</v>
      </c>
      <c r="G480" s="20">
        <f t="shared" si="38"/>
        <v>359000</v>
      </c>
      <c r="H480" s="20">
        <f t="shared" si="39"/>
        <v>394000</v>
      </c>
    </row>
    <row r="481" spans="1:8">
      <c r="A481" s="274">
        <v>477</v>
      </c>
      <c r="B481" s="222" t="s">
        <v>2037</v>
      </c>
      <c r="C481" s="275">
        <v>178874.30000000002</v>
      </c>
      <c r="D481" s="20">
        <f t="shared" si="35"/>
        <v>179000</v>
      </c>
      <c r="E481" s="20">
        <f t="shared" si="36"/>
        <v>197000</v>
      </c>
      <c r="F481" s="20">
        <f t="shared" si="37"/>
        <v>217000</v>
      </c>
      <c r="G481" s="20">
        <f t="shared" si="38"/>
        <v>239000</v>
      </c>
      <c r="H481" s="20">
        <f t="shared" si="39"/>
        <v>262000</v>
      </c>
    </row>
    <row r="482" spans="1:8">
      <c r="A482" s="274">
        <v>478</v>
      </c>
      <c r="B482" s="222" t="s">
        <v>2038</v>
      </c>
      <c r="C482" s="275">
        <v>628079.10000000009</v>
      </c>
      <c r="D482" s="20">
        <f t="shared" si="35"/>
        <v>629000</v>
      </c>
      <c r="E482" s="20">
        <f t="shared" si="36"/>
        <v>691000</v>
      </c>
      <c r="F482" s="20">
        <f t="shared" si="37"/>
        <v>760000</v>
      </c>
      <c r="G482" s="20">
        <f t="shared" si="38"/>
        <v>836000</v>
      </c>
      <c r="H482" s="20">
        <f t="shared" si="39"/>
        <v>920000</v>
      </c>
    </row>
    <row r="483" spans="1:8">
      <c r="A483" s="274">
        <v>479</v>
      </c>
      <c r="B483" s="222" t="s">
        <v>2039</v>
      </c>
      <c r="C483" s="275">
        <v>628079.10000000009</v>
      </c>
      <c r="D483" s="20">
        <f t="shared" si="35"/>
        <v>629000</v>
      </c>
      <c r="E483" s="20">
        <f t="shared" si="36"/>
        <v>691000</v>
      </c>
      <c r="F483" s="20">
        <f t="shared" si="37"/>
        <v>760000</v>
      </c>
      <c r="G483" s="20">
        <f t="shared" si="38"/>
        <v>836000</v>
      </c>
      <c r="H483" s="20">
        <f t="shared" si="39"/>
        <v>920000</v>
      </c>
    </row>
    <row r="484" spans="1:8">
      <c r="A484" s="274">
        <v>480</v>
      </c>
      <c r="B484" s="222" t="s">
        <v>2040</v>
      </c>
      <c r="C484" s="275">
        <v>359092.80000000005</v>
      </c>
      <c r="D484" s="20">
        <f t="shared" si="35"/>
        <v>360000</v>
      </c>
      <c r="E484" s="20">
        <f t="shared" si="36"/>
        <v>396000</v>
      </c>
      <c r="F484" s="20">
        <f t="shared" si="37"/>
        <v>435000</v>
      </c>
      <c r="G484" s="20">
        <f t="shared" si="38"/>
        <v>478000</v>
      </c>
      <c r="H484" s="20">
        <f t="shared" si="39"/>
        <v>526000</v>
      </c>
    </row>
    <row r="485" spans="1:8">
      <c r="A485" s="274">
        <v>481</v>
      </c>
      <c r="B485" s="222" t="s">
        <v>2041</v>
      </c>
      <c r="C485" s="275">
        <v>268987.40000000002</v>
      </c>
      <c r="D485" s="20">
        <f t="shared" si="35"/>
        <v>269000</v>
      </c>
      <c r="E485" s="20">
        <f t="shared" si="36"/>
        <v>296000</v>
      </c>
      <c r="F485" s="20">
        <f t="shared" si="37"/>
        <v>326000</v>
      </c>
      <c r="G485" s="20">
        <f t="shared" si="38"/>
        <v>359000</v>
      </c>
      <c r="H485" s="20">
        <f t="shared" si="39"/>
        <v>394000</v>
      </c>
    </row>
    <row r="486" spans="1:8">
      <c r="A486" s="274">
        <v>482</v>
      </c>
      <c r="B486" s="222" t="s">
        <v>2042</v>
      </c>
      <c r="C486" s="275">
        <v>359092.80000000005</v>
      </c>
      <c r="D486" s="20">
        <f t="shared" si="35"/>
        <v>360000</v>
      </c>
      <c r="E486" s="20">
        <f t="shared" si="36"/>
        <v>396000</v>
      </c>
      <c r="F486" s="20">
        <f t="shared" si="37"/>
        <v>435000</v>
      </c>
      <c r="G486" s="20">
        <f t="shared" si="38"/>
        <v>478000</v>
      </c>
      <c r="H486" s="20">
        <f t="shared" si="39"/>
        <v>526000</v>
      </c>
    </row>
    <row r="487" spans="1:8">
      <c r="A487" s="274">
        <v>483</v>
      </c>
      <c r="B487" s="222" t="s">
        <v>2043</v>
      </c>
      <c r="C487" s="275">
        <v>314711.10000000003</v>
      </c>
      <c r="D487" s="20">
        <f t="shared" si="35"/>
        <v>315000</v>
      </c>
      <c r="E487" s="20">
        <f t="shared" si="36"/>
        <v>347000</v>
      </c>
      <c r="F487" s="20">
        <f t="shared" si="37"/>
        <v>381000</v>
      </c>
      <c r="G487" s="20">
        <f t="shared" si="38"/>
        <v>419000</v>
      </c>
      <c r="H487" s="20">
        <f t="shared" si="39"/>
        <v>461000</v>
      </c>
    </row>
    <row r="488" spans="1:8">
      <c r="A488" s="274">
        <v>484</v>
      </c>
      <c r="B488" s="222" t="s">
        <v>2044</v>
      </c>
      <c r="C488" s="275">
        <v>268986.30000000005</v>
      </c>
      <c r="D488" s="20">
        <f t="shared" si="35"/>
        <v>269000</v>
      </c>
      <c r="E488" s="20">
        <f t="shared" si="36"/>
        <v>296000</v>
      </c>
      <c r="F488" s="20">
        <f t="shared" si="37"/>
        <v>326000</v>
      </c>
      <c r="G488" s="20">
        <f t="shared" si="38"/>
        <v>359000</v>
      </c>
      <c r="H488" s="20">
        <f t="shared" si="39"/>
        <v>394000</v>
      </c>
    </row>
    <row r="489" spans="1:8">
      <c r="A489" s="274">
        <v>485</v>
      </c>
      <c r="B489" s="222" t="s">
        <v>2045</v>
      </c>
      <c r="C489" s="275">
        <v>125077.70000000001</v>
      </c>
      <c r="D489" s="20">
        <f t="shared" si="35"/>
        <v>126000</v>
      </c>
      <c r="E489" s="20">
        <f t="shared" si="36"/>
        <v>138000</v>
      </c>
      <c r="F489" s="20">
        <f t="shared" si="37"/>
        <v>152000</v>
      </c>
      <c r="G489" s="20">
        <f t="shared" si="38"/>
        <v>167000</v>
      </c>
      <c r="H489" s="20">
        <f t="shared" si="39"/>
        <v>184000</v>
      </c>
    </row>
    <row r="490" spans="1:8">
      <c r="A490" s="274">
        <v>486</v>
      </c>
      <c r="B490" s="222" t="s">
        <v>2046</v>
      </c>
      <c r="C490" s="275">
        <v>178874.30000000002</v>
      </c>
      <c r="D490" s="20">
        <f t="shared" si="35"/>
        <v>179000</v>
      </c>
      <c r="E490" s="20">
        <f t="shared" si="36"/>
        <v>197000</v>
      </c>
      <c r="F490" s="20">
        <f t="shared" si="37"/>
        <v>217000</v>
      </c>
      <c r="G490" s="20">
        <f t="shared" si="38"/>
        <v>239000</v>
      </c>
      <c r="H490" s="20">
        <f t="shared" si="39"/>
        <v>262000</v>
      </c>
    </row>
    <row r="491" spans="1:8">
      <c r="A491" s="274">
        <v>487</v>
      </c>
      <c r="B491" s="222" t="s">
        <v>2047</v>
      </c>
      <c r="C491" s="275">
        <v>90113.1</v>
      </c>
      <c r="D491" s="20">
        <f t="shared" si="35"/>
        <v>91000</v>
      </c>
      <c r="E491" s="20">
        <f t="shared" si="36"/>
        <v>100000</v>
      </c>
      <c r="F491" s="20">
        <f t="shared" si="37"/>
        <v>110000</v>
      </c>
      <c r="G491" s="20">
        <f t="shared" si="38"/>
        <v>120000</v>
      </c>
      <c r="H491" s="20">
        <f t="shared" si="39"/>
        <v>132000</v>
      </c>
    </row>
    <row r="492" spans="1:8">
      <c r="A492" s="274">
        <v>488</v>
      </c>
      <c r="B492" s="222" t="s">
        <v>2048</v>
      </c>
      <c r="C492" s="275">
        <v>716840.3</v>
      </c>
      <c r="D492" s="20">
        <f t="shared" si="35"/>
        <v>717000</v>
      </c>
      <c r="E492" s="20">
        <f t="shared" si="36"/>
        <v>789000</v>
      </c>
      <c r="F492" s="20">
        <f t="shared" si="37"/>
        <v>868000</v>
      </c>
      <c r="G492" s="20">
        <f t="shared" si="38"/>
        <v>955000</v>
      </c>
      <c r="H492" s="20">
        <f t="shared" si="39"/>
        <v>1050000</v>
      </c>
    </row>
    <row r="493" spans="1:8">
      <c r="A493" s="274">
        <v>489</v>
      </c>
      <c r="B493" s="222" t="s">
        <v>2049</v>
      </c>
      <c r="C493" s="275">
        <v>359092.80000000005</v>
      </c>
      <c r="D493" s="20">
        <f t="shared" si="35"/>
        <v>360000</v>
      </c>
      <c r="E493" s="20">
        <f t="shared" si="36"/>
        <v>396000</v>
      </c>
      <c r="F493" s="20">
        <f t="shared" si="37"/>
        <v>435000</v>
      </c>
      <c r="G493" s="20">
        <f t="shared" si="38"/>
        <v>478000</v>
      </c>
      <c r="H493" s="20">
        <f t="shared" si="39"/>
        <v>526000</v>
      </c>
    </row>
    <row r="494" spans="1:8">
      <c r="A494" s="274">
        <v>490</v>
      </c>
      <c r="B494" s="222" t="s">
        <v>2050</v>
      </c>
      <c r="C494" s="275">
        <v>268987.40000000002</v>
      </c>
      <c r="D494" s="20">
        <f t="shared" si="35"/>
        <v>269000</v>
      </c>
      <c r="E494" s="20">
        <f t="shared" si="36"/>
        <v>296000</v>
      </c>
      <c r="F494" s="20">
        <f t="shared" si="37"/>
        <v>326000</v>
      </c>
      <c r="G494" s="20">
        <f t="shared" si="38"/>
        <v>359000</v>
      </c>
      <c r="H494" s="20">
        <f t="shared" si="39"/>
        <v>394000</v>
      </c>
    </row>
    <row r="495" spans="1:8">
      <c r="A495" s="274">
        <v>491</v>
      </c>
      <c r="B495" s="222" t="s">
        <v>2051</v>
      </c>
      <c r="C495" s="275">
        <v>8970586.9000000004</v>
      </c>
      <c r="D495" s="20">
        <f t="shared" si="35"/>
        <v>8971000</v>
      </c>
      <c r="E495" s="20">
        <f t="shared" si="36"/>
        <v>9868000</v>
      </c>
      <c r="F495" s="20">
        <f t="shared" si="37"/>
        <v>10855000</v>
      </c>
      <c r="G495" s="20">
        <f t="shared" si="38"/>
        <v>11940000</v>
      </c>
      <c r="H495" s="20">
        <f t="shared" si="39"/>
        <v>13134000</v>
      </c>
    </row>
    <row r="496" spans="1:8">
      <c r="A496" s="274">
        <v>492</v>
      </c>
      <c r="B496" s="222" t="s">
        <v>2052</v>
      </c>
      <c r="C496" s="275">
        <v>550000</v>
      </c>
      <c r="D496" s="20">
        <f t="shared" si="35"/>
        <v>550000</v>
      </c>
      <c r="E496" s="20">
        <f t="shared" si="36"/>
        <v>605000</v>
      </c>
      <c r="F496" s="20">
        <f t="shared" si="37"/>
        <v>666000</v>
      </c>
      <c r="G496" s="20">
        <f t="shared" si="38"/>
        <v>733000</v>
      </c>
      <c r="H496" s="20">
        <f t="shared" si="39"/>
        <v>806000</v>
      </c>
    </row>
    <row r="497" spans="1:8">
      <c r="A497" s="274">
        <v>493</v>
      </c>
      <c r="B497" s="222" t="s">
        <v>2053</v>
      </c>
      <c r="C497" s="275">
        <v>268987.40000000002</v>
      </c>
      <c r="D497" s="20">
        <f t="shared" si="35"/>
        <v>269000</v>
      </c>
      <c r="E497" s="20">
        <f t="shared" si="36"/>
        <v>296000</v>
      </c>
      <c r="F497" s="20">
        <f t="shared" si="37"/>
        <v>326000</v>
      </c>
      <c r="G497" s="20">
        <f t="shared" si="38"/>
        <v>359000</v>
      </c>
      <c r="H497" s="20">
        <f t="shared" si="39"/>
        <v>394000</v>
      </c>
    </row>
    <row r="498" spans="1:8">
      <c r="A498" s="274">
        <v>494</v>
      </c>
      <c r="B498" s="222" t="s">
        <v>2054</v>
      </c>
      <c r="C498" s="275">
        <v>215190.80000000002</v>
      </c>
      <c r="D498" s="20">
        <f t="shared" si="35"/>
        <v>216000</v>
      </c>
      <c r="E498" s="20">
        <f t="shared" si="36"/>
        <v>237000</v>
      </c>
      <c r="F498" s="20">
        <f t="shared" si="37"/>
        <v>261000</v>
      </c>
      <c r="G498" s="20">
        <f t="shared" si="38"/>
        <v>287000</v>
      </c>
      <c r="H498" s="20">
        <f t="shared" si="39"/>
        <v>316000</v>
      </c>
    </row>
    <row r="499" spans="1:8">
      <c r="A499" s="274">
        <v>495</v>
      </c>
      <c r="B499" s="222" t="s">
        <v>2055</v>
      </c>
      <c r="C499" s="275">
        <v>268987.40000000002</v>
      </c>
      <c r="D499" s="20">
        <f t="shared" si="35"/>
        <v>269000</v>
      </c>
      <c r="E499" s="20">
        <f t="shared" si="36"/>
        <v>296000</v>
      </c>
      <c r="F499" s="20">
        <f t="shared" si="37"/>
        <v>326000</v>
      </c>
      <c r="G499" s="20">
        <f t="shared" si="38"/>
        <v>359000</v>
      </c>
      <c r="H499" s="20">
        <f t="shared" si="39"/>
        <v>394000</v>
      </c>
    </row>
    <row r="500" spans="1:8">
      <c r="A500" s="274">
        <v>496</v>
      </c>
      <c r="B500" s="222" t="s">
        <v>2056</v>
      </c>
      <c r="C500" s="275">
        <v>493587.60000000003</v>
      </c>
      <c r="D500" s="20">
        <f t="shared" si="35"/>
        <v>494000</v>
      </c>
      <c r="E500" s="20">
        <f t="shared" si="36"/>
        <v>543000</v>
      </c>
      <c r="F500" s="20">
        <f t="shared" si="37"/>
        <v>598000</v>
      </c>
      <c r="G500" s="20">
        <f t="shared" si="38"/>
        <v>657000</v>
      </c>
      <c r="H500" s="20">
        <f t="shared" si="39"/>
        <v>723000</v>
      </c>
    </row>
    <row r="501" spans="1:8">
      <c r="A501" s="274">
        <v>497</v>
      </c>
      <c r="B501" s="222" t="s">
        <v>2057</v>
      </c>
      <c r="C501" s="275">
        <v>628075.80000000005</v>
      </c>
      <c r="D501" s="20">
        <f t="shared" si="35"/>
        <v>629000</v>
      </c>
      <c r="E501" s="20">
        <f t="shared" si="36"/>
        <v>691000</v>
      </c>
      <c r="F501" s="20">
        <f t="shared" si="37"/>
        <v>760000</v>
      </c>
      <c r="G501" s="20">
        <f t="shared" si="38"/>
        <v>836000</v>
      </c>
      <c r="H501" s="20">
        <f t="shared" si="39"/>
        <v>920000</v>
      </c>
    </row>
    <row r="502" spans="1:8">
      <c r="A502" s="274">
        <v>498</v>
      </c>
      <c r="B502" s="222" t="s">
        <v>2058</v>
      </c>
      <c r="C502" s="275">
        <v>268983</v>
      </c>
      <c r="D502" s="20">
        <f t="shared" si="35"/>
        <v>269000</v>
      </c>
      <c r="E502" s="20">
        <f t="shared" si="36"/>
        <v>296000</v>
      </c>
      <c r="F502" s="20">
        <f t="shared" si="37"/>
        <v>326000</v>
      </c>
      <c r="G502" s="20">
        <f t="shared" si="38"/>
        <v>359000</v>
      </c>
      <c r="H502" s="20">
        <f t="shared" si="39"/>
        <v>394000</v>
      </c>
    </row>
    <row r="503" spans="1:8">
      <c r="A503" s="274">
        <v>499</v>
      </c>
      <c r="B503" s="222" t="s">
        <v>2059</v>
      </c>
      <c r="C503" s="275">
        <v>268983</v>
      </c>
      <c r="D503" s="20">
        <f t="shared" si="35"/>
        <v>269000</v>
      </c>
      <c r="E503" s="20">
        <f t="shared" si="36"/>
        <v>296000</v>
      </c>
      <c r="F503" s="20">
        <f t="shared" si="37"/>
        <v>326000</v>
      </c>
      <c r="G503" s="20">
        <f t="shared" si="38"/>
        <v>359000</v>
      </c>
      <c r="H503" s="20">
        <f t="shared" si="39"/>
        <v>394000</v>
      </c>
    </row>
    <row r="504" spans="1:8">
      <c r="A504" s="274">
        <v>500</v>
      </c>
      <c r="B504" s="222" t="s">
        <v>2060</v>
      </c>
      <c r="C504" s="275">
        <v>268987.40000000002</v>
      </c>
      <c r="D504" s="20">
        <f t="shared" si="35"/>
        <v>269000</v>
      </c>
      <c r="E504" s="20">
        <f t="shared" si="36"/>
        <v>296000</v>
      </c>
      <c r="F504" s="20">
        <f t="shared" si="37"/>
        <v>326000</v>
      </c>
      <c r="G504" s="20">
        <f t="shared" si="38"/>
        <v>359000</v>
      </c>
      <c r="H504" s="20">
        <f t="shared" si="39"/>
        <v>394000</v>
      </c>
    </row>
    <row r="505" spans="1:8">
      <c r="A505" s="274">
        <v>501</v>
      </c>
      <c r="B505" s="222" t="s">
        <v>2061</v>
      </c>
      <c r="C505" s="275">
        <v>636145.4</v>
      </c>
      <c r="D505" s="20">
        <f t="shared" si="35"/>
        <v>637000</v>
      </c>
      <c r="E505" s="20">
        <f t="shared" si="36"/>
        <v>700000</v>
      </c>
      <c r="F505" s="20">
        <f t="shared" si="37"/>
        <v>770000</v>
      </c>
      <c r="G505" s="20">
        <f t="shared" si="38"/>
        <v>847000</v>
      </c>
      <c r="H505" s="20">
        <f t="shared" si="39"/>
        <v>932000</v>
      </c>
    </row>
    <row r="506" spans="1:8">
      <c r="A506" s="274">
        <v>502</v>
      </c>
      <c r="B506" s="222" t="s">
        <v>2062</v>
      </c>
      <c r="C506" s="275">
        <v>544691.4</v>
      </c>
      <c r="D506" s="20">
        <f t="shared" si="35"/>
        <v>545000</v>
      </c>
      <c r="E506" s="20">
        <f t="shared" si="36"/>
        <v>600000</v>
      </c>
      <c r="F506" s="20">
        <f t="shared" si="37"/>
        <v>660000</v>
      </c>
      <c r="G506" s="20">
        <f t="shared" si="38"/>
        <v>725000</v>
      </c>
      <c r="H506" s="20">
        <f t="shared" si="39"/>
        <v>798000</v>
      </c>
    </row>
    <row r="507" spans="1:8">
      <c r="A507" s="274">
        <v>503</v>
      </c>
      <c r="B507" s="222" t="s">
        <v>2063</v>
      </c>
      <c r="C507" s="275">
        <v>268987.40000000002</v>
      </c>
      <c r="D507" s="20">
        <f t="shared" si="35"/>
        <v>269000</v>
      </c>
      <c r="E507" s="20">
        <f t="shared" si="36"/>
        <v>296000</v>
      </c>
      <c r="F507" s="20">
        <f t="shared" si="37"/>
        <v>326000</v>
      </c>
      <c r="G507" s="20">
        <f t="shared" si="38"/>
        <v>359000</v>
      </c>
      <c r="H507" s="20">
        <f t="shared" si="39"/>
        <v>394000</v>
      </c>
    </row>
    <row r="508" spans="1:8">
      <c r="A508" s="274">
        <v>504</v>
      </c>
      <c r="B508" s="222" t="s">
        <v>2064</v>
      </c>
      <c r="C508" s="275">
        <v>359092.80000000005</v>
      </c>
      <c r="D508" s="20">
        <f t="shared" si="35"/>
        <v>360000</v>
      </c>
      <c r="E508" s="20">
        <f t="shared" si="36"/>
        <v>396000</v>
      </c>
      <c r="F508" s="20">
        <f t="shared" si="37"/>
        <v>435000</v>
      </c>
      <c r="G508" s="20">
        <f t="shared" si="38"/>
        <v>478000</v>
      </c>
      <c r="H508" s="20">
        <f t="shared" si="39"/>
        <v>526000</v>
      </c>
    </row>
    <row r="509" spans="1:8">
      <c r="A509" s="274">
        <v>505</v>
      </c>
      <c r="B509" s="222" t="s">
        <v>2065</v>
      </c>
      <c r="C509" s="275">
        <v>459961.7</v>
      </c>
      <c r="D509" s="20">
        <f t="shared" si="35"/>
        <v>460000</v>
      </c>
      <c r="E509" s="20">
        <f t="shared" si="36"/>
        <v>506000</v>
      </c>
      <c r="F509" s="20">
        <f t="shared" si="37"/>
        <v>557000</v>
      </c>
      <c r="G509" s="20">
        <f t="shared" si="38"/>
        <v>613000</v>
      </c>
      <c r="H509" s="20">
        <f t="shared" si="39"/>
        <v>674000</v>
      </c>
    </row>
    <row r="510" spans="1:8">
      <c r="A510" s="274">
        <v>506</v>
      </c>
      <c r="B510" s="222" t="s">
        <v>2066</v>
      </c>
      <c r="C510" s="275">
        <v>178874.30000000002</v>
      </c>
      <c r="D510" s="20">
        <f t="shared" si="35"/>
        <v>179000</v>
      </c>
      <c r="E510" s="20">
        <f t="shared" si="36"/>
        <v>197000</v>
      </c>
      <c r="F510" s="20">
        <f t="shared" si="37"/>
        <v>217000</v>
      </c>
      <c r="G510" s="20">
        <f t="shared" si="38"/>
        <v>239000</v>
      </c>
      <c r="H510" s="20">
        <f t="shared" si="39"/>
        <v>262000</v>
      </c>
    </row>
    <row r="511" spans="1:8">
      <c r="A511" s="274">
        <v>507</v>
      </c>
      <c r="B511" s="222" t="s">
        <v>2067</v>
      </c>
      <c r="C511" s="275">
        <v>268987.40000000002</v>
      </c>
      <c r="D511" s="20">
        <f t="shared" si="35"/>
        <v>269000</v>
      </c>
      <c r="E511" s="20">
        <f t="shared" si="36"/>
        <v>296000</v>
      </c>
      <c r="F511" s="20">
        <f t="shared" si="37"/>
        <v>326000</v>
      </c>
      <c r="G511" s="20">
        <f t="shared" si="38"/>
        <v>359000</v>
      </c>
      <c r="H511" s="20">
        <f t="shared" si="39"/>
        <v>394000</v>
      </c>
    </row>
    <row r="512" spans="1:8">
      <c r="A512" s="274">
        <v>508</v>
      </c>
      <c r="B512" s="222" t="s">
        <v>2068</v>
      </c>
      <c r="C512" s="275">
        <v>178874.30000000002</v>
      </c>
      <c r="D512" s="20">
        <f t="shared" si="35"/>
        <v>179000</v>
      </c>
      <c r="E512" s="20">
        <f t="shared" si="36"/>
        <v>197000</v>
      </c>
      <c r="F512" s="20">
        <f t="shared" si="37"/>
        <v>217000</v>
      </c>
      <c r="G512" s="20">
        <f t="shared" si="38"/>
        <v>239000</v>
      </c>
      <c r="H512" s="20">
        <f t="shared" si="39"/>
        <v>262000</v>
      </c>
    </row>
    <row r="513" spans="1:8">
      <c r="A513" s="274">
        <v>509</v>
      </c>
      <c r="B513" s="222" t="s">
        <v>2069</v>
      </c>
      <c r="C513" s="275">
        <v>204427.30000000002</v>
      </c>
      <c r="D513" s="20">
        <f t="shared" si="35"/>
        <v>205000</v>
      </c>
      <c r="E513" s="20">
        <f t="shared" si="36"/>
        <v>225000</v>
      </c>
      <c r="F513" s="20">
        <f t="shared" si="37"/>
        <v>248000</v>
      </c>
      <c r="G513" s="20">
        <f t="shared" si="38"/>
        <v>273000</v>
      </c>
      <c r="H513" s="20">
        <f t="shared" si="39"/>
        <v>300000</v>
      </c>
    </row>
    <row r="514" spans="1:8">
      <c r="A514" s="274">
        <v>510</v>
      </c>
      <c r="B514" s="222" t="s">
        <v>2070</v>
      </c>
      <c r="C514" s="275">
        <v>181563.80000000002</v>
      </c>
      <c r="D514" s="20">
        <f t="shared" si="35"/>
        <v>182000</v>
      </c>
      <c r="E514" s="20">
        <f t="shared" si="36"/>
        <v>200000</v>
      </c>
      <c r="F514" s="20">
        <f t="shared" si="37"/>
        <v>220000</v>
      </c>
      <c r="G514" s="20">
        <f t="shared" si="38"/>
        <v>242000</v>
      </c>
      <c r="H514" s="20">
        <f t="shared" si="39"/>
        <v>266000</v>
      </c>
    </row>
    <row r="515" spans="1:8">
      <c r="A515" s="274">
        <v>511</v>
      </c>
      <c r="B515" s="222" t="s">
        <v>2071</v>
      </c>
      <c r="C515" s="275">
        <v>268987.40000000002</v>
      </c>
      <c r="D515" s="20">
        <f t="shared" si="35"/>
        <v>269000</v>
      </c>
      <c r="E515" s="20">
        <f t="shared" si="36"/>
        <v>296000</v>
      </c>
      <c r="F515" s="20">
        <f t="shared" si="37"/>
        <v>326000</v>
      </c>
      <c r="G515" s="20">
        <f t="shared" si="38"/>
        <v>359000</v>
      </c>
      <c r="H515" s="20">
        <f t="shared" si="39"/>
        <v>394000</v>
      </c>
    </row>
    <row r="516" spans="1:8">
      <c r="A516" s="274">
        <v>512</v>
      </c>
      <c r="B516" s="222" t="s">
        <v>2072</v>
      </c>
      <c r="C516" s="275">
        <v>215190.80000000002</v>
      </c>
      <c r="D516" s="20">
        <f t="shared" ref="D516:D579" si="40">ROUNDUP(C516,-3)</f>
        <v>216000</v>
      </c>
      <c r="E516" s="20">
        <f t="shared" ref="E516:E579" si="41">ROUNDUP($C516*1.1,-3)</f>
        <v>237000</v>
      </c>
      <c r="F516" s="20">
        <f t="shared" ref="F516:F579" si="42">ROUNDUP($C516*1.1*1.1,-3)</f>
        <v>261000</v>
      </c>
      <c r="G516" s="20">
        <f t="shared" ref="G516:G579" si="43">ROUNDUP($C516*1.1*1.1*1.1,-3)</f>
        <v>287000</v>
      </c>
      <c r="H516" s="20">
        <f t="shared" ref="H516:H579" si="44">ROUNDUP($C516*1.1*1.1*1.1*1.1,-3)</f>
        <v>316000</v>
      </c>
    </row>
    <row r="517" spans="1:8">
      <c r="A517" s="274">
        <v>513</v>
      </c>
      <c r="B517" s="222" t="s">
        <v>2073</v>
      </c>
      <c r="C517" s="275">
        <v>447860.60000000003</v>
      </c>
      <c r="D517" s="20">
        <f t="shared" si="40"/>
        <v>448000</v>
      </c>
      <c r="E517" s="20">
        <f t="shared" si="41"/>
        <v>493000</v>
      </c>
      <c r="F517" s="20">
        <f t="shared" si="42"/>
        <v>542000</v>
      </c>
      <c r="G517" s="20">
        <f t="shared" si="43"/>
        <v>597000</v>
      </c>
      <c r="H517" s="20">
        <f t="shared" si="44"/>
        <v>656000</v>
      </c>
    </row>
    <row r="518" spans="1:8">
      <c r="A518" s="274">
        <v>514</v>
      </c>
      <c r="B518" s="222" t="s">
        <v>2074</v>
      </c>
      <c r="C518" s="275">
        <v>786775.00000000012</v>
      </c>
      <c r="D518" s="20">
        <f t="shared" si="40"/>
        <v>787000</v>
      </c>
      <c r="E518" s="20">
        <f t="shared" si="41"/>
        <v>866000</v>
      </c>
      <c r="F518" s="20">
        <f t="shared" si="42"/>
        <v>952000</v>
      </c>
      <c r="G518" s="20">
        <f t="shared" si="43"/>
        <v>1048000</v>
      </c>
      <c r="H518" s="20">
        <f t="shared" si="44"/>
        <v>1152000</v>
      </c>
    </row>
    <row r="519" spans="1:8">
      <c r="A519" s="274">
        <v>515</v>
      </c>
      <c r="B519" s="222" t="s">
        <v>2075</v>
      </c>
      <c r="C519" s="275">
        <v>359092.80000000005</v>
      </c>
      <c r="D519" s="20">
        <f t="shared" si="40"/>
        <v>360000</v>
      </c>
      <c r="E519" s="20">
        <f t="shared" si="41"/>
        <v>396000</v>
      </c>
      <c r="F519" s="20">
        <f t="shared" si="42"/>
        <v>435000</v>
      </c>
      <c r="G519" s="20">
        <f t="shared" si="43"/>
        <v>478000</v>
      </c>
      <c r="H519" s="20">
        <f t="shared" si="44"/>
        <v>526000</v>
      </c>
    </row>
    <row r="520" spans="1:8">
      <c r="A520" s="274">
        <v>516</v>
      </c>
      <c r="B520" s="222" t="s">
        <v>2076</v>
      </c>
      <c r="C520" s="275">
        <v>323569.40000000002</v>
      </c>
      <c r="D520" s="20">
        <f t="shared" si="40"/>
        <v>324000</v>
      </c>
      <c r="E520" s="20">
        <f t="shared" si="41"/>
        <v>356000</v>
      </c>
      <c r="F520" s="20">
        <f t="shared" si="42"/>
        <v>392000</v>
      </c>
      <c r="G520" s="20">
        <f t="shared" si="43"/>
        <v>431000</v>
      </c>
      <c r="H520" s="20">
        <f t="shared" si="44"/>
        <v>474000</v>
      </c>
    </row>
    <row r="521" spans="1:8">
      <c r="A521" s="274">
        <v>517</v>
      </c>
      <c r="B521" s="222" t="s">
        <v>2077</v>
      </c>
      <c r="C521" s="275">
        <v>185145.40000000002</v>
      </c>
      <c r="D521" s="20">
        <f t="shared" si="40"/>
        <v>186000</v>
      </c>
      <c r="E521" s="20">
        <f t="shared" si="41"/>
        <v>204000</v>
      </c>
      <c r="F521" s="20">
        <f t="shared" si="42"/>
        <v>225000</v>
      </c>
      <c r="G521" s="20">
        <f t="shared" si="43"/>
        <v>247000</v>
      </c>
      <c r="H521" s="20">
        <f t="shared" si="44"/>
        <v>272000</v>
      </c>
    </row>
    <row r="522" spans="1:8">
      <c r="A522" s="274">
        <v>518</v>
      </c>
      <c r="B522" s="222" t="s">
        <v>2078</v>
      </c>
      <c r="C522" s="275">
        <v>3077339.1</v>
      </c>
      <c r="D522" s="20">
        <f t="shared" si="40"/>
        <v>3078000</v>
      </c>
      <c r="E522" s="20">
        <f t="shared" si="41"/>
        <v>3386000</v>
      </c>
      <c r="F522" s="20">
        <f t="shared" si="42"/>
        <v>3724000</v>
      </c>
      <c r="G522" s="20">
        <f t="shared" si="43"/>
        <v>4096000</v>
      </c>
      <c r="H522" s="20">
        <f t="shared" si="44"/>
        <v>4506000</v>
      </c>
    </row>
    <row r="523" spans="1:8">
      <c r="A523" s="274">
        <v>519</v>
      </c>
      <c r="B523" s="222" t="s">
        <v>2079</v>
      </c>
      <c r="C523" s="275">
        <v>3306603.3000000003</v>
      </c>
      <c r="D523" s="20">
        <f t="shared" si="40"/>
        <v>3307000</v>
      </c>
      <c r="E523" s="20">
        <f t="shared" si="41"/>
        <v>3638000</v>
      </c>
      <c r="F523" s="20">
        <f t="shared" si="42"/>
        <v>4001000</v>
      </c>
      <c r="G523" s="20">
        <f t="shared" si="43"/>
        <v>4402000</v>
      </c>
      <c r="H523" s="20">
        <f t="shared" si="44"/>
        <v>4842000</v>
      </c>
    </row>
    <row r="524" spans="1:8">
      <c r="A524" s="274">
        <v>520</v>
      </c>
      <c r="B524" s="222" t="s">
        <v>2080</v>
      </c>
      <c r="C524" s="275">
        <v>7812304.5000000009</v>
      </c>
      <c r="D524" s="20">
        <f t="shared" si="40"/>
        <v>7813000</v>
      </c>
      <c r="E524" s="20">
        <f t="shared" si="41"/>
        <v>8594000</v>
      </c>
      <c r="F524" s="20">
        <f t="shared" si="42"/>
        <v>9453000</v>
      </c>
      <c r="G524" s="20">
        <f t="shared" si="43"/>
        <v>10399000</v>
      </c>
      <c r="H524" s="20">
        <f t="shared" si="44"/>
        <v>11438000</v>
      </c>
    </row>
    <row r="525" spans="1:8">
      <c r="A525" s="274">
        <v>521</v>
      </c>
      <c r="B525" s="222" t="s">
        <v>2081</v>
      </c>
      <c r="C525" s="275">
        <v>616852.5</v>
      </c>
      <c r="D525" s="20">
        <f t="shared" si="40"/>
        <v>617000</v>
      </c>
      <c r="E525" s="20">
        <f t="shared" si="41"/>
        <v>679000</v>
      </c>
      <c r="F525" s="20">
        <f t="shared" si="42"/>
        <v>747000</v>
      </c>
      <c r="G525" s="20">
        <f t="shared" si="43"/>
        <v>822000</v>
      </c>
      <c r="H525" s="20">
        <f t="shared" si="44"/>
        <v>904000</v>
      </c>
    </row>
    <row r="526" spans="1:8">
      <c r="A526" s="274">
        <v>522</v>
      </c>
      <c r="B526" s="222" t="s">
        <v>2082</v>
      </c>
      <c r="C526" s="275">
        <v>462855.80000000005</v>
      </c>
      <c r="D526" s="20">
        <f t="shared" si="40"/>
        <v>463000</v>
      </c>
      <c r="E526" s="20">
        <f t="shared" si="41"/>
        <v>510000</v>
      </c>
      <c r="F526" s="20">
        <f t="shared" si="42"/>
        <v>561000</v>
      </c>
      <c r="G526" s="20">
        <f t="shared" si="43"/>
        <v>617000</v>
      </c>
      <c r="H526" s="20">
        <f t="shared" si="44"/>
        <v>678000</v>
      </c>
    </row>
    <row r="527" spans="1:8">
      <c r="A527" s="274">
        <v>523</v>
      </c>
      <c r="B527" s="222" t="s">
        <v>2083</v>
      </c>
      <c r="C527" s="275">
        <v>231860.2</v>
      </c>
      <c r="D527" s="20">
        <f t="shared" si="40"/>
        <v>232000</v>
      </c>
      <c r="E527" s="20">
        <f t="shared" si="41"/>
        <v>256000</v>
      </c>
      <c r="F527" s="20">
        <f t="shared" si="42"/>
        <v>281000</v>
      </c>
      <c r="G527" s="20">
        <f t="shared" si="43"/>
        <v>309000</v>
      </c>
      <c r="H527" s="20">
        <f t="shared" si="44"/>
        <v>340000</v>
      </c>
    </row>
    <row r="528" spans="1:8">
      <c r="A528" s="274">
        <v>524</v>
      </c>
      <c r="B528" s="222" t="s">
        <v>2084</v>
      </c>
      <c r="C528" s="275">
        <v>123717.00000000001</v>
      </c>
      <c r="D528" s="20">
        <f t="shared" si="40"/>
        <v>124000</v>
      </c>
      <c r="E528" s="20">
        <f t="shared" si="41"/>
        <v>137000</v>
      </c>
      <c r="F528" s="20">
        <f t="shared" si="42"/>
        <v>150000</v>
      </c>
      <c r="G528" s="20">
        <f t="shared" si="43"/>
        <v>165000</v>
      </c>
      <c r="H528" s="20">
        <f t="shared" si="44"/>
        <v>182000</v>
      </c>
    </row>
    <row r="529" spans="1:8">
      <c r="A529" s="274">
        <v>525</v>
      </c>
      <c r="B529" s="222" t="s">
        <v>2085</v>
      </c>
      <c r="C529" s="275">
        <v>231860.2</v>
      </c>
      <c r="D529" s="20">
        <f t="shared" si="40"/>
        <v>232000</v>
      </c>
      <c r="E529" s="20">
        <f t="shared" si="41"/>
        <v>256000</v>
      </c>
      <c r="F529" s="20">
        <f t="shared" si="42"/>
        <v>281000</v>
      </c>
      <c r="G529" s="20">
        <f t="shared" si="43"/>
        <v>309000</v>
      </c>
      <c r="H529" s="20">
        <f t="shared" si="44"/>
        <v>340000</v>
      </c>
    </row>
    <row r="530" spans="1:8">
      <c r="A530" s="274">
        <v>526</v>
      </c>
      <c r="B530" s="222" t="s">
        <v>2086</v>
      </c>
      <c r="C530" s="275">
        <v>385860.2</v>
      </c>
      <c r="D530" s="20">
        <f t="shared" si="40"/>
        <v>386000</v>
      </c>
      <c r="E530" s="20">
        <f t="shared" si="41"/>
        <v>425000</v>
      </c>
      <c r="F530" s="20">
        <f t="shared" si="42"/>
        <v>467000</v>
      </c>
      <c r="G530" s="20">
        <f t="shared" si="43"/>
        <v>514000</v>
      </c>
      <c r="H530" s="20">
        <f t="shared" si="44"/>
        <v>565000</v>
      </c>
    </row>
    <row r="531" spans="1:8">
      <c r="A531" s="274">
        <v>527</v>
      </c>
      <c r="B531" s="222" t="s">
        <v>2087</v>
      </c>
      <c r="C531" s="275">
        <v>850445.20000000007</v>
      </c>
      <c r="D531" s="20">
        <f t="shared" si="40"/>
        <v>851000</v>
      </c>
      <c r="E531" s="20">
        <f t="shared" si="41"/>
        <v>936000</v>
      </c>
      <c r="F531" s="20">
        <f t="shared" si="42"/>
        <v>1030000</v>
      </c>
      <c r="G531" s="20">
        <f t="shared" si="43"/>
        <v>1132000</v>
      </c>
      <c r="H531" s="20">
        <f t="shared" si="44"/>
        <v>1246000</v>
      </c>
    </row>
    <row r="532" spans="1:8">
      <c r="A532" s="274">
        <v>528</v>
      </c>
      <c r="B532" s="222" t="s">
        <v>2088</v>
      </c>
      <c r="C532" s="275">
        <v>1083171.1000000001</v>
      </c>
      <c r="D532" s="20">
        <f t="shared" si="40"/>
        <v>1084000</v>
      </c>
      <c r="E532" s="20">
        <f t="shared" si="41"/>
        <v>1192000</v>
      </c>
      <c r="F532" s="20">
        <f t="shared" si="42"/>
        <v>1311000</v>
      </c>
      <c r="G532" s="20">
        <f t="shared" si="43"/>
        <v>1442000</v>
      </c>
      <c r="H532" s="20">
        <f t="shared" si="44"/>
        <v>1586000</v>
      </c>
    </row>
    <row r="533" spans="1:8">
      <c r="A533" s="274">
        <v>529</v>
      </c>
      <c r="B533" s="222" t="s">
        <v>2089</v>
      </c>
      <c r="C533" s="275">
        <v>2005417.7000000002</v>
      </c>
      <c r="D533" s="20">
        <f t="shared" si="40"/>
        <v>2006000</v>
      </c>
      <c r="E533" s="20">
        <f t="shared" si="41"/>
        <v>2206000</v>
      </c>
      <c r="F533" s="20">
        <f t="shared" si="42"/>
        <v>2427000</v>
      </c>
      <c r="G533" s="20">
        <f t="shared" si="43"/>
        <v>2670000</v>
      </c>
      <c r="H533" s="20">
        <f t="shared" si="44"/>
        <v>2937000</v>
      </c>
    </row>
    <row r="534" spans="1:8">
      <c r="A534" s="274">
        <v>530</v>
      </c>
      <c r="B534" s="222" t="s">
        <v>2090</v>
      </c>
      <c r="C534" s="275">
        <v>2622270.2000000002</v>
      </c>
      <c r="D534" s="20">
        <f t="shared" si="40"/>
        <v>2623000</v>
      </c>
      <c r="E534" s="20">
        <f t="shared" si="41"/>
        <v>2885000</v>
      </c>
      <c r="F534" s="20">
        <f t="shared" si="42"/>
        <v>3173000</v>
      </c>
      <c r="G534" s="20">
        <f t="shared" si="43"/>
        <v>3491000</v>
      </c>
      <c r="H534" s="20">
        <f t="shared" si="44"/>
        <v>3840000</v>
      </c>
    </row>
    <row r="535" spans="1:8">
      <c r="A535" s="274">
        <v>531</v>
      </c>
      <c r="B535" s="222" t="s">
        <v>2091</v>
      </c>
      <c r="C535" s="275">
        <v>6440176.6000000006</v>
      </c>
      <c r="D535" s="20">
        <f t="shared" si="40"/>
        <v>6441000</v>
      </c>
      <c r="E535" s="20">
        <f t="shared" si="41"/>
        <v>7085000</v>
      </c>
      <c r="F535" s="20">
        <f t="shared" si="42"/>
        <v>7793000</v>
      </c>
      <c r="G535" s="20">
        <f t="shared" si="43"/>
        <v>8572000</v>
      </c>
      <c r="H535" s="20">
        <f t="shared" si="44"/>
        <v>9430000</v>
      </c>
    </row>
    <row r="536" spans="1:8">
      <c r="A536" s="274">
        <v>532</v>
      </c>
      <c r="B536" s="222" t="s">
        <v>2092</v>
      </c>
      <c r="C536" s="275">
        <v>1507959.2000000002</v>
      </c>
      <c r="D536" s="20">
        <f t="shared" si="40"/>
        <v>1508000</v>
      </c>
      <c r="E536" s="20">
        <f t="shared" si="41"/>
        <v>1659000</v>
      </c>
      <c r="F536" s="20">
        <f t="shared" si="42"/>
        <v>1825000</v>
      </c>
      <c r="G536" s="20">
        <f t="shared" si="43"/>
        <v>2008000</v>
      </c>
      <c r="H536" s="20">
        <f t="shared" si="44"/>
        <v>2208000</v>
      </c>
    </row>
    <row r="537" spans="1:8">
      <c r="A537" s="274">
        <v>533</v>
      </c>
      <c r="B537" s="222" t="s">
        <v>2093</v>
      </c>
      <c r="C537" s="275">
        <v>1931880.5000000002</v>
      </c>
      <c r="D537" s="20">
        <f t="shared" si="40"/>
        <v>1932000</v>
      </c>
      <c r="E537" s="20">
        <f t="shared" si="41"/>
        <v>2126000</v>
      </c>
      <c r="F537" s="20">
        <f t="shared" si="42"/>
        <v>2338000</v>
      </c>
      <c r="G537" s="20">
        <f t="shared" si="43"/>
        <v>2572000</v>
      </c>
      <c r="H537" s="20">
        <f t="shared" si="44"/>
        <v>2829000</v>
      </c>
    </row>
    <row r="538" spans="1:8">
      <c r="A538" s="274">
        <v>534</v>
      </c>
      <c r="B538" s="222" t="s">
        <v>2094</v>
      </c>
      <c r="C538" s="275">
        <v>2345422.2000000002</v>
      </c>
      <c r="D538" s="20">
        <f t="shared" si="40"/>
        <v>2346000</v>
      </c>
      <c r="E538" s="20">
        <f t="shared" si="41"/>
        <v>2580000</v>
      </c>
      <c r="F538" s="20">
        <f t="shared" si="42"/>
        <v>2838000</v>
      </c>
      <c r="G538" s="20">
        <f t="shared" si="43"/>
        <v>3122000</v>
      </c>
      <c r="H538" s="20">
        <f t="shared" si="44"/>
        <v>3434000</v>
      </c>
    </row>
    <row r="539" spans="1:8">
      <c r="A539" s="274">
        <v>535</v>
      </c>
      <c r="B539" s="222" t="s">
        <v>2095</v>
      </c>
      <c r="C539" s="275">
        <v>2874896.2</v>
      </c>
      <c r="D539" s="20">
        <f t="shared" si="40"/>
        <v>2875000</v>
      </c>
      <c r="E539" s="20">
        <f t="shared" si="41"/>
        <v>3163000</v>
      </c>
      <c r="F539" s="20">
        <f t="shared" si="42"/>
        <v>3479000</v>
      </c>
      <c r="G539" s="20">
        <f t="shared" si="43"/>
        <v>3827000</v>
      </c>
      <c r="H539" s="20">
        <f t="shared" si="44"/>
        <v>4210000</v>
      </c>
    </row>
    <row r="540" spans="1:8">
      <c r="A540" s="274">
        <v>536</v>
      </c>
      <c r="B540" s="222" t="s">
        <v>2096</v>
      </c>
      <c r="C540" s="275">
        <v>252627.10000000003</v>
      </c>
      <c r="D540" s="20">
        <f t="shared" si="40"/>
        <v>253000</v>
      </c>
      <c r="E540" s="20">
        <f t="shared" si="41"/>
        <v>278000</v>
      </c>
      <c r="F540" s="20">
        <f t="shared" si="42"/>
        <v>306000</v>
      </c>
      <c r="G540" s="20">
        <f t="shared" si="43"/>
        <v>337000</v>
      </c>
      <c r="H540" s="20">
        <f t="shared" si="44"/>
        <v>370000</v>
      </c>
    </row>
    <row r="541" spans="1:8">
      <c r="A541" s="274">
        <v>537</v>
      </c>
      <c r="B541" s="222" t="s">
        <v>2097</v>
      </c>
      <c r="C541" s="275">
        <v>3253829.7</v>
      </c>
      <c r="D541" s="20">
        <f t="shared" si="40"/>
        <v>3254000</v>
      </c>
      <c r="E541" s="20">
        <f t="shared" si="41"/>
        <v>3580000</v>
      </c>
      <c r="F541" s="20">
        <f t="shared" si="42"/>
        <v>3938000</v>
      </c>
      <c r="G541" s="20">
        <f t="shared" si="43"/>
        <v>4331000</v>
      </c>
      <c r="H541" s="20">
        <f t="shared" si="44"/>
        <v>4764000</v>
      </c>
    </row>
    <row r="542" spans="1:8">
      <c r="A542" s="274">
        <v>538</v>
      </c>
      <c r="B542" s="222" t="s">
        <v>2098</v>
      </c>
      <c r="C542" s="275">
        <v>1157570.7000000002</v>
      </c>
      <c r="D542" s="20">
        <f t="shared" si="40"/>
        <v>1158000</v>
      </c>
      <c r="E542" s="20">
        <f t="shared" si="41"/>
        <v>1274000</v>
      </c>
      <c r="F542" s="20">
        <f t="shared" si="42"/>
        <v>1401000</v>
      </c>
      <c r="G542" s="20">
        <f t="shared" si="43"/>
        <v>1541000</v>
      </c>
      <c r="H542" s="20">
        <f t="shared" si="44"/>
        <v>1695000</v>
      </c>
    </row>
    <row r="543" spans="1:8">
      <c r="A543" s="274">
        <v>539</v>
      </c>
      <c r="B543" s="222" t="s">
        <v>2099</v>
      </c>
      <c r="C543" s="275">
        <v>771713.8</v>
      </c>
      <c r="D543" s="20">
        <f t="shared" si="40"/>
        <v>772000</v>
      </c>
      <c r="E543" s="20">
        <f t="shared" si="41"/>
        <v>849000</v>
      </c>
      <c r="F543" s="20">
        <f t="shared" si="42"/>
        <v>934000</v>
      </c>
      <c r="G543" s="20">
        <f t="shared" si="43"/>
        <v>1028000</v>
      </c>
      <c r="H543" s="20">
        <f t="shared" si="44"/>
        <v>1130000</v>
      </c>
    </row>
    <row r="544" spans="1:8">
      <c r="A544" s="274">
        <v>540</v>
      </c>
      <c r="B544" s="222" t="s">
        <v>2100</v>
      </c>
      <c r="C544" s="275">
        <v>5062857.8000000007</v>
      </c>
      <c r="D544" s="20">
        <f t="shared" si="40"/>
        <v>5063000</v>
      </c>
      <c r="E544" s="20">
        <f t="shared" si="41"/>
        <v>5570000</v>
      </c>
      <c r="F544" s="20">
        <f t="shared" si="42"/>
        <v>6127000</v>
      </c>
      <c r="G544" s="20">
        <f t="shared" si="43"/>
        <v>6739000</v>
      </c>
      <c r="H544" s="20">
        <f t="shared" si="44"/>
        <v>7413000</v>
      </c>
    </row>
    <row r="545" spans="1:8">
      <c r="A545" s="274">
        <v>541</v>
      </c>
      <c r="B545" s="222" t="s">
        <v>2101</v>
      </c>
      <c r="C545" s="275">
        <v>4261728.9000000004</v>
      </c>
      <c r="D545" s="20">
        <f t="shared" si="40"/>
        <v>4262000</v>
      </c>
      <c r="E545" s="20">
        <f t="shared" si="41"/>
        <v>4688000</v>
      </c>
      <c r="F545" s="20">
        <f t="shared" si="42"/>
        <v>5157000</v>
      </c>
      <c r="G545" s="20">
        <f t="shared" si="43"/>
        <v>5673000</v>
      </c>
      <c r="H545" s="20">
        <f t="shared" si="44"/>
        <v>6240000</v>
      </c>
    </row>
    <row r="546" spans="1:8">
      <c r="A546" s="274">
        <v>542</v>
      </c>
      <c r="B546" s="222" t="s">
        <v>2102</v>
      </c>
      <c r="C546" s="275">
        <v>258680.40000000002</v>
      </c>
      <c r="D546" s="20">
        <f t="shared" si="40"/>
        <v>259000</v>
      </c>
      <c r="E546" s="20">
        <f t="shared" si="41"/>
        <v>285000</v>
      </c>
      <c r="F546" s="20">
        <f t="shared" si="42"/>
        <v>314000</v>
      </c>
      <c r="G546" s="20">
        <f t="shared" si="43"/>
        <v>345000</v>
      </c>
      <c r="H546" s="20">
        <f t="shared" si="44"/>
        <v>379000</v>
      </c>
    </row>
    <row r="547" spans="1:8">
      <c r="A547" s="274">
        <v>543</v>
      </c>
      <c r="B547" s="222" t="s">
        <v>2103</v>
      </c>
      <c r="C547" s="275">
        <v>238781.40000000002</v>
      </c>
      <c r="D547" s="20">
        <f t="shared" si="40"/>
        <v>239000</v>
      </c>
      <c r="E547" s="20">
        <f t="shared" si="41"/>
        <v>263000</v>
      </c>
      <c r="F547" s="20">
        <f t="shared" si="42"/>
        <v>289000</v>
      </c>
      <c r="G547" s="20">
        <f t="shared" si="43"/>
        <v>318000</v>
      </c>
      <c r="H547" s="20">
        <f t="shared" si="44"/>
        <v>350000</v>
      </c>
    </row>
    <row r="548" spans="1:8">
      <c r="A548" s="274">
        <v>544</v>
      </c>
      <c r="B548" s="222" t="s">
        <v>2104</v>
      </c>
      <c r="C548" s="275">
        <v>2075495.4000000001</v>
      </c>
      <c r="D548" s="20">
        <f t="shared" si="40"/>
        <v>2076000</v>
      </c>
      <c r="E548" s="20">
        <f t="shared" si="41"/>
        <v>2284000</v>
      </c>
      <c r="F548" s="20">
        <f t="shared" si="42"/>
        <v>2512000</v>
      </c>
      <c r="G548" s="20">
        <f t="shared" si="43"/>
        <v>2763000</v>
      </c>
      <c r="H548" s="20">
        <f t="shared" si="44"/>
        <v>3039000</v>
      </c>
    </row>
    <row r="549" spans="1:8">
      <c r="A549" s="274">
        <v>545</v>
      </c>
      <c r="B549" s="222" t="s">
        <v>2105</v>
      </c>
      <c r="C549" s="275">
        <v>307996.7</v>
      </c>
      <c r="D549" s="20">
        <f t="shared" si="40"/>
        <v>308000</v>
      </c>
      <c r="E549" s="20">
        <f t="shared" si="41"/>
        <v>339000</v>
      </c>
      <c r="F549" s="20">
        <f t="shared" si="42"/>
        <v>373000</v>
      </c>
      <c r="G549" s="20">
        <f t="shared" si="43"/>
        <v>410000</v>
      </c>
      <c r="H549" s="20">
        <f t="shared" si="44"/>
        <v>451000</v>
      </c>
    </row>
    <row r="550" spans="1:8">
      <c r="A550" s="274">
        <v>546</v>
      </c>
      <c r="B550" s="222" t="s">
        <v>2106</v>
      </c>
      <c r="C550" s="275">
        <v>385856.9</v>
      </c>
      <c r="D550" s="20">
        <f t="shared" si="40"/>
        <v>386000</v>
      </c>
      <c r="E550" s="20">
        <f t="shared" si="41"/>
        <v>425000</v>
      </c>
      <c r="F550" s="20">
        <f t="shared" si="42"/>
        <v>467000</v>
      </c>
      <c r="G550" s="20">
        <f t="shared" si="43"/>
        <v>514000</v>
      </c>
      <c r="H550" s="20">
        <f t="shared" si="44"/>
        <v>565000</v>
      </c>
    </row>
    <row r="551" spans="1:8">
      <c r="A551" s="274">
        <v>547</v>
      </c>
      <c r="B551" s="222" t="s">
        <v>2107</v>
      </c>
      <c r="C551" s="275">
        <v>370284.2</v>
      </c>
      <c r="D551" s="20">
        <f t="shared" si="40"/>
        <v>371000</v>
      </c>
      <c r="E551" s="20">
        <f t="shared" si="41"/>
        <v>408000</v>
      </c>
      <c r="F551" s="20">
        <f t="shared" si="42"/>
        <v>449000</v>
      </c>
      <c r="G551" s="20">
        <f t="shared" si="43"/>
        <v>493000</v>
      </c>
      <c r="H551" s="20">
        <f t="shared" si="44"/>
        <v>543000</v>
      </c>
    </row>
    <row r="552" spans="1:8">
      <c r="A552" s="274">
        <v>548</v>
      </c>
      <c r="B552" s="222" t="s">
        <v>2108</v>
      </c>
      <c r="C552" s="275">
        <v>307993.40000000002</v>
      </c>
      <c r="D552" s="20">
        <f t="shared" si="40"/>
        <v>308000</v>
      </c>
      <c r="E552" s="20">
        <f t="shared" si="41"/>
        <v>339000</v>
      </c>
      <c r="F552" s="20">
        <f t="shared" si="42"/>
        <v>373000</v>
      </c>
      <c r="G552" s="20">
        <f t="shared" si="43"/>
        <v>410000</v>
      </c>
      <c r="H552" s="20">
        <f t="shared" si="44"/>
        <v>451000</v>
      </c>
    </row>
    <row r="553" spans="1:8">
      <c r="A553" s="274">
        <v>549</v>
      </c>
      <c r="B553" s="222" t="s">
        <v>2109</v>
      </c>
      <c r="C553" s="275">
        <v>462855.80000000005</v>
      </c>
      <c r="D553" s="20">
        <f t="shared" si="40"/>
        <v>463000</v>
      </c>
      <c r="E553" s="20">
        <f t="shared" si="41"/>
        <v>510000</v>
      </c>
      <c r="F553" s="20">
        <f t="shared" si="42"/>
        <v>561000</v>
      </c>
      <c r="G553" s="20">
        <f t="shared" si="43"/>
        <v>617000</v>
      </c>
      <c r="H553" s="20">
        <f t="shared" si="44"/>
        <v>678000</v>
      </c>
    </row>
    <row r="554" spans="1:8">
      <c r="A554" s="274">
        <v>550</v>
      </c>
      <c r="B554" s="222" t="s">
        <v>2110</v>
      </c>
      <c r="C554" s="275">
        <v>143000</v>
      </c>
      <c r="D554" s="20">
        <f t="shared" si="40"/>
        <v>143000</v>
      </c>
      <c r="E554" s="20">
        <f t="shared" si="41"/>
        <v>158000</v>
      </c>
      <c r="F554" s="20">
        <f t="shared" si="42"/>
        <v>174000</v>
      </c>
      <c r="G554" s="20">
        <f t="shared" si="43"/>
        <v>191000</v>
      </c>
      <c r="H554" s="20">
        <f t="shared" si="44"/>
        <v>210000</v>
      </c>
    </row>
    <row r="555" spans="1:8">
      <c r="A555" s="274">
        <v>551</v>
      </c>
      <c r="B555" s="222" t="s">
        <v>2111</v>
      </c>
      <c r="C555" s="275">
        <v>35750</v>
      </c>
      <c r="D555" s="20">
        <f t="shared" si="40"/>
        <v>36000</v>
      </c>
      <c r="E555" s="20">
        <f t="shared" si="41"/>
        <v>40000</v>
      </c>
      <c r="F555" s="20">
        <f t="shared" si="42"/>
        <v>44000</v>
      </c>
      <c r="G555" s="20">
        <f t="shared" si="43"/>
        <v>48000</v>
      </c>
      <c r="H555" s="20">
        <f t="shared" si="44"/>
        <v>53000</v>
      </c>
    </row>
    <row r="556" spans="1:8">
      <c r="A556" s="274">
        <v>552</v>
      </c>
      <c r="B556" s="222" t="s">
        <v>2112</v>
      </c>
      <c r="C556" s="275">
        <v>429000.00000000006</v>
      </c>
      <c r="D556" s="20">
        <f t="shared" si="40"/>
        <v>429000</v>
      </c>
      <c r="E556" s="20">
        <f t="shared" si="41"/>
        <v>472000</v>
      </c>
      <c r="F556" s="20">
        <f t="shared" si="42"/>
        <v>520000</v>
      </c>
      <c r="G556" s="20">
        <f t="shared" si="43"/>
        <v>571000</v>
      </c>
      <c r="H556" s="20">
        <f t="shared" si="44"/>
        <v>629000</v>
      </c>
    </row>
    <row r="557" spans="1:8">
      <c r="A557" s="274">
        <v>553</v>
      </c>
      <c r="B557" s="222" t="s">
        <v>2113</v>
      </c>
      <c r="C557" s="275">
        <v>1501500.0000000002</v>
      </c>
      <c r="D557" s="20">
        <f t="shared" si="40"/>
        <v>1502000</v>
      </c>
      <c r="E557" s="20">
        <f t="shared" si="41"/>
        <v>1652000</v>
      </c>
      <c r="F557" s="20">
        <f t="shared" si="42"/>
        <v>1817000</v>
      </c>
      <c r="G557" s="20">
        <f t="shared" si="43"/>
        <v>1999000</v>
      </c>
      <c r="H557" s="20">
        <f t="shared" si="44"/>
        <v>2199000</v>
      </c>
    </row>
    <row r="558" spans="1:8">
      <c r="A558" s="274">
        <v>554</v>
      </c>
      <c r="B558" s="222" t="s">
        <v>2114</v>
      </c>
      <c r="C558" s="275">
        <v>71500</v>
      </c>
      <c r="D558" s="20">
        <f t="shared" si="40"/>
        <v>72000</v>
      </c>
      <c r="E558" s="20">
        <f t="shared" si="41"/>
        <v>79000</v>
      </c>
      <c r="F558" s="20">
        <f t="shared" si="42"/>
        <v>87000</v>
      </c>
      <c r="G558" s="20">
        <f t="shared" si="43"/>
        <v>96000</v>
      </c>
      <c r="H558" s="20">
        <f t="shared" si="44"/>
        <v>105000</v>
      </c>
    </row>
    <row r="559" spans="1:8">
      <c r="A559" s="274">
        <v>555</v>
      </c>
      <c r="B559" s="222" t="s">
        <v>2115</v>
      </c>
      <c r="C559" s="275">
        <v>286000</v>
      </c>
      <c r="D559" s="20">
        <f t="shared" si="40"/>
        <v>286000</v>
      </c>
      <c r="E559" s="20">
        <f t="shared" si="41"/>
        <v>315000</v>
      </c>
      <c r="F559" s="20">
        <f t="shared" si="42"/>
        <v>347000</v>
      </c>
      <c r="G559" s="20">
        <f t="shared" si="43"/>
        <v>381000</v>
      </c>
      <c r="H559" s="20">
        <f t="shared" si="44"/>
        <v>419000</v>
      </c>
    </row>
    <row r="560" spans="1:8">
      <c r="A560" s="274">
        <v>556</v>
      </c>
      <c r="B560" s="222" t="s">
        <v>2116</v>
      </c>
      <c r="C560" s="275">
        <v>214500.00000000003</v>
      </c>
      <c r="D560" s="20">
        <f t="shared" si="40"/>
        <v>215000</v>
      </c>
      <c r="E560" s="20">
        <f t="shared" si="41"/>
        <v>236000</v>
      </c>
      <c r="F560" s="20">
        <f t="shared" si="42"/>
        <v>260000</v>
      </c>
      <c r="G560" s="20">
        <f t="shared" si="43"/>
        <v>286000</v>
      </c>
      <c r="H560" s="20">
        <f t="shared" si="44"/>
        <v>315000</v>
      </c>
    </row>
    <row r="561" spans="1:8">
      <c r="A561" s="274">
        <v>557</v>
      </c>
      <c r="B561" s="222" t="s">
        <v>2117</v>
      </c>
      <c r="C561" s="275">
        <v>100100.00000000001</v>
      </c>
      <c r="D561" s="20">
        <f t="shared" si="40"/>
        <v>101000</v>
      </c>
      <c r="E561" s="20">
        <f t="shared" si="41"/>
        <v>111000</v>
      </c>
      <c r="F561" s="20">
        <f t="shared" si="42"/>
        <v>122000</v>
      </c>
      <c r="G561" s="20">
        <f t="shared" si="43"/>
        <v>134000</v>
      </c>
      <c r="H561" s="20">
        <f t="shared" si="44"/>
        <v>147000</v>
      </c>
    </row>
    <row r="562" spans="1:8">
      <c r="A562" s="274">
        <v>558</v>
      </c>
      <c r="B562" s="222" t="s">
        <v>2118</v>
      </c>
      <c r="C562" s="275">
        <v>71500</v>
      </c>
      <c r="D562" s="20">
        <f t="shared" si="40"/>
        <v>72000</v>
      </c>
      <c r="E562" s="20">
        <f t="shared" si="41"/>
        <v>79000</v>
      </c>
      <c r="F562" s="20">
        <f t="shared" si="42"/>
        <v>87000</v>
      </c>
      <c r="G562" s="20">
        <f t="shared" si="43"/>
        <v>96000</v>
      </c>
      <c r="H562" s="20">
        <f t="shared" si="44"/>
        <v>105000</v>
      </c>
    </row>
    <row r="563" spans="1:8">
      <c r="A563" s="274">
        <v>559</v>
      </c>
      <c r="B563" s="222" t="s">
        <v>2119</v>
      </c>
      <c r="C563" s="275">
        <v>143000</v>
      </c>
      <c r="D563" s="20">
        <f t="shared" si="40"/>
        <v>143000</v>
      </c>
      <c r="E563" s="20">
        <f t="shared" si="41"/>
        <v>158000</v>
      </c>
      <c r="F563" s="20">
        <f t="shared" si="42"/>
        <v>174000</v>
      </c>
      <c r="G563" s="20">
        <f t="shared" si="43"/>
        <v>191000</v>
      </c>
      <c r="H563" s="20">
        <f t="shared" si="44"/>
        <v>210000</v>
      </c>
    </row>
    <row r="564" spans="1:8">
      <c r="A564" s="274">
        <v>560</v>
      </c>
      <c r="B564" s="222" t="s">
        <v>2120</v>
      </c>
      <c r="C564" s="275">
        <v>286000</v>
      </c>
      <c r="D564" s="20">
        <f t="shared" si="40"/>
        <v>286000</v>
      </c>
      <c r="E564" s="20">
        <f t="shared" si="41"/>
        <v>315000</v>
      </c>
      <c r="F564" s="20">
        <f t="shared" si="42"/>
        <v>347000</v>
      </c>
      <c r="G564" s="20">
        <f t="shared" si="43"/>
        <v>381000</v>
      </c>
      <c r="H564" s="20">
        <f t="shared" si="44"/>
        <v>419000</v>
      </c>
    </row>
    <row r="565" spans="1:8">
      <c r="A565" s="274">
        <v>561</v>
      </c>
      <c r="B565" s="222" t="s">
        <v>2121</v>
      </c>
      <c r="C565" s="275">
        <v>114400.00000000001</v>
      </c>
      <c r="D565" s="20">
        <f t="shared" si="40"/>
        <v>115000</v>
      </c>
      <c r="E565" s="20">
        <f t="shared" si="41"/>
        <v>126000</v>
      </c>
      <c r="F565" s="20">
        <f t="shared" si="42"/>
        <v>139000</v>
      </c>
      <c r="G565" s="20">
        <f t="shared" si="43"/>
        <v>153000</v>
      </c>
      <c r="H565" s="20">
        <f t="shared" si="44"/>
        <v>168000</v>
      </c>
    </row>
    <row r="566" spans="1:8">
      <c r="A566" s="274">
        <v>562</v>
      </c>
      <c r="B566" s="222" t="s">
        <v>2122</v>
      </c>
      <c r="C566" s="275">
        <v>114400.00000000001</v>
      </c>
      <c r="D566" s="20">
        <f t="shared" si="40"/>
        <v>115000</v>
      </c>
      <c r="E566" s="20">
        <f t="shared" si="41"/>
        <v>126000</v>
      </c>
      <c r="F566" s="20">
        <f t="shared" si="42"/>
        <v>139000</v>
      </c>
      <c r="G566" s="20">
        <f t="shared" si="43"/>
        <v>153000</v>
      </c>
      <c r="H566" s="20">
        <f t="shared" si="44"/>
        <v>168000</v>
      </c>
    </row>
    <row r="567" spans="1:8">
      <c r="A567" s="274">
        <v>563</v>
      </c>
      <c r="B567" s="222" t="s">
        <v>2123</v>
      </c>
      <c r="C567" s="275">
        <v>114400.00000000001</v>
      </c>
      <c r="D567" s="20">
        <f t="shared" si="40"/>
        <v>115000</v>
      </c>
      <c r="E567" s="20">
        <f t="shared" si="41"/>
        <v>126000</v>
      </c>
      <c r="F567" s="20">
        <f t="shared" si="42"/>
        <v>139000</v>
      </c>
      <c r="G567" s="20">
        <f t="shared" si="43"/>
        <v>153000</v>
      </c>
      <c r="H567" s="20">
        <f t="shared" si="44"/>
        <v>168000</v>
      </c>
    </row>
    <row r="568" spans="1:8">
      <c r="A568" s="274">
        <v>564</v>
      </c>
      <c r="B568" s="222" t="s">
        <v>2124</v>
      </c>
      <c r="C568" s="275">
        <v>429000.00000000006</v>
      </c>
      <c r="D568" s="20">
        <f t="shared" si="40"/>
        <v>429000</v>
      </c>
      <c r="E568" s="20">
        <f t="shared" si="41"/>
        <v>472000</v>
      </c>
      <c r="F568" s="20">
        <f t="shared" si="42"/>
        <v>520000</v>
      </c>
      <c r="G568" s="20">
        <f t="shared" si="43"/>
        <v>571000</v>
      </c>
      <c r="H568" s="20">
        <f t="shared" si="44"/>
        <v>629000</v>
      </c>
    </row>
    <row r="569" spans="1:8">
      <c r="A569" s="274">
        <v>565</v>
      </c>
      <c r="B569" s="222" t="s">
        <v>2125</v>
      </c>
      <c r="C569" s="275">
        <v>572000</v>
      </c>
      <c r="D569" s="20">
        <f t="shared" si="40"/>
        <v>572000</v>
      </c>
      <c r="E569" s="20">
        <f t="shared" si="41"/>
        <v>630000</v>
      </c>
      <c r="F569" s="20">
        <f t="shared" si="42"/>
        <v>693000</v>
      </c>
      <c r="G569" s="20">
        <f t="shared" si="43"/>
        <v>762000</v>
      </c>
      <c r="H569" s="20">
        <f t="shared" si="44"/>
        <v>838000</v>
      </c>
    </row>
    <row r="570" spans="1:8">
      <c r="A570" s="274">
        <v>566</v>
      </c>
      <c r="B570" s="222" t="s">
        <v>2126</v>
      </c>
      <c r="C570" s="275">
        <v>214500.00000000003</v>
      </c>
      <c r="D570" s="20">
        <f t="shared" si="40"/>
        <v>215000</v>
      </c>
      <c r="E570" s="20">
        <f t="shared" si="41"/>
        <v>236000</v>
      </c>
      <c r="F570" s="20">
        <f t="shared" si="42"/>
        <v>260000</v>
      </c>
      <c r="G570" s="20">
        <f t="shared" si="43"/>
        <v>286000</v>
      </c>
      <c r="H570" s="20">
        <f t="shared" si="44"/>
        <v>315000</v>
      </c>
    </row>
    <row r="571" spans="1:8">
      <c r="A571" s="274">
        <v>567</v>
      </c>
      <c r="B571" s="222" t="s">
        <v>2127</v>
      </c>
      <c r="C571" s="275">
        <v>500500.00000000006</v>
      </c>
      <c r="D571" s="20">
        <f t="shared" si="40"/>
        <v>501000</v>
      </c>
      <c r="E571" s="20">
        <f t="shared" si="41"/>
        <v>551000</v>
      </c>
      <c r="F571" s="20">
        <f t="shared" si="42"/>
        <v>606000</v>
      </c>
      <c r="G571" s="20">
        <f t="shared" si="43"/>
        <v>667000</v>
      </c>
      <c r="H571" s="20">
        <f t="shared" si="44"/>
        <v>733000</v>
      </c>
    </row>
    <row r="572" spans="1:8">
      <c r="A572" s="274">
        <v>568</v>
      </c>
      <c r="B572" s="222" t="s">
        <v>2128</v>
      </c>
      <c r="C572" s="275">
        <v>429000.00000000006</v>
      </c>
      <c r="D572" s="20">
        <f t="shared" si="40"/>
        <v>429000</v>
      </c>
      <c r="E572" s="20">
        <f t="shared" si="41"/>
        <v>472000</v>
      </c>
      <c r="F572" s="20">
        <f t="shared" si="42"/>
        <v>520000</v>
      </c>
      <c r="G572" s="20">
        <f t="shared" si="43"/>
        <v>571000</v>
      </c>
      <c r="H572" s="20">
        <f t="shared" si="44"/>
        <v>629000</v>
      </c>
    </row>
    <row r="573" spans="1:8">
      <c r="A573" s="274">
        <v>569</v>
      </c>
      <c r="B573" s="222" t="s">
        <v>2129</v>
      </c>
      <c r="C573" s="275">
        <v>330000</v>
      </c>
      <c r="D573" s="20">
        <f t="shared" si="40"/>
        <v>330000</v>
      </c>
      <c r="E573" s="20">
        <f t="shared" si="41"/>
        <v>363000</v>
      </c>
      <c r="F573" s="20">
        <f t="shared" si="42"/>
        <v>400000</v>
      </c>
      <c r="G573" s="20">
        <f t="shared" si="43"/>
        <v>440000</v>
      </c>
      <c r="H573" s="20">
        <f t="shared" si="44"/>
        <v>484000</v>
      </c>
    </row>
    <row r="574" spans="1:8">
      <c r="A574" s="274">
        <v>570</v>
      </c>
      <c r="B574" s="222" t="s">
        <v>2130</v>
      </c>
      <c r="C574" s="275">
        <v>286000</v>
      </c>
      <c r="D574" s="20">
        <f t="shared" si="40"/>
        <v>286000</v>
      </c>
      <c r="E574" s="20">
        <f t="shared" si="41"/>
        <v>315000</v>
      </c>
      <c r="F574" s="20">
        <f t="shared" si="42"/>
        <v>347000</v>
      </c>
      <c r="G574" s="20">
        <f t="shared" si="43"/>
        <v>381000</v>
      </c>
      <c r="H574" s="20">
        <f t="shared" si="44"/>
        <v>419000</v>
      </c>
    </row>
    <row r="575" spans="1:8">
      <c r="A575" s="274">
        <v>571</v>
      </c>
      <c r="B575" s="222" t="s">
        <v>2131</v>
      </c>
      <c r="C575" s="275">
        <v>715000</v>
      </c>
      <c r="D575" s="20">
        <f t="shared" si="40"/>
        <v>715000</v>
      </c>
      <c r="E575" s="20">
        <f t="shared" si="41"/>
        <v>787000</v>
      </c>
      <c r="F575" s="20">
        <f t="shared" si="42"/>
        <v>866000</v>
      </c>
      <c r="G575" s="20">
        <f t="shared" si="43"/>
        <v>952000</v>
      </c>
      <c r="H575" s="20">
        <f t="shared" si="44"/>
        <v>1047000</v>
      </c>
    </row>
    <row r="576" spans="1:8">
      <c r="A576" s="274">
        <v>572</v>
      </c>
      <c r="B576" s="222" t="s">
        <v>2132</v>
      </c>
      <c r="C576" s="275">
        <v>357500</v>
      </c>
      <c r="D576" s="20">
        <f t="shared" si="40"/>
        <v>358000</v>
      </c>
      <c r="E576" s="20">
        <f t="shared" si="41"/>
        <v>394000</v>
      </c>
      <c r="F576" s="20">
        <f t="shared" si="42"/>
        <v>433000</v>
      </c>
      <c r="G576" s="20">
        <f t="shared" si="43"/>
        <v>476000</v>
      </c>
      <c r="H576" s="20">
        <f t="shared" si="44"/>
        <v>524000</v>
      </c>
    </row>
    <row r="577" spans="1:8">
      <c r="A577" s="274">
        <v>573</v>
      </c>
      <c r="B577" s="222" t="s">
        <v>2133</v>
      </c>
      <c r="C577" s="275">
        <v>257400.00000000003</v>
      </c>
      <c r="D577" s="20">
        <f t="shared" si="40"/>
        <v>258000</v>
      </c>
      <c r="E577" s="20">
        <f t="shared" si="41"/>
        <v>284000</v>
      </c>
      <c r="F577" s="20">
        <f t="shared" si="42"/>
        <v>312000</v>
      </c>
      <c r="G577" s="20">
        <f t="shared" si="43"/>
        <v>343000</v>
      </c>
      <c r="H577" s="20">
        <f t="shared" si="44"/>
        <v>377000</v>
      </c>
    </row>
    <row r="578" spans="1:8">
      <c r="A578" s="274">
        <v>574</v>
      </c>
      <c r="B578" s="222" t="s">
        <v>2134</v>
      </c>
      <c r="C578" s="275">
        <v>643500</v>
      </c>
      <c r="D578" s="20">
        <f t="shared" si="40"/>
        <v>644000</v>
      </c>
      <c r="E578" s="20">
        <f t="shared" si="41"/>
        <v>708000</v>
      </c>
      <c r="F578" s="20">
        <f t="shared" si="42"/>
        <v>779000</v>
      </c>
      <c r="G578" s="20">
        <f t="shared" si="43"/>
        <v>857000</v>
      </c>
      <c r="H578" s="20">
        <f t="shared" si="44"/>
        <v>943000</v>
      </c>
    </row>
    <row r="579" spans="1:8">
      <c r="A579" s="274">
        <v>575</v>
      </c>
      <c r="B579" s="222" t="s">
        <v>2135</v>
      </c>
      <c r="C579" s="275">
        <v>1144000</v>
      </c>
      <c r="D579" s="20">
        <f t="shared" si="40"/>
        <v>1144000</v>
      </c>
      <c r="E579" s="20">
        <f t="shared" si="41"/>
        <v>1259000</v>
      </c>
      <c r="F579" s="20">
        <f t="shared" si="42"/>
        <v>1385000</v>
      </c>
      <c r="G579" s="20">
        <f t="shared" si="43"/>
        <v>1523000</v>
      </c>
      <c r="H579" s="20">
        <f t="shared" si="44"/>
        <v>1675000</v>
      </c>
    </row>
    <row r="580" spans="1:8">
      <c r="A580" s="274">
        <v>576</v>
      </c>
      <c r="B580" s="222" t="s">
        <v>2136</v>
      </c>
      <c r="C580" s="275">
        <v>1430000</v>
      </c>
      <c r="D580" s="20">
        <f t="shared" ref="D580:D643" si="45">ROUNDUP(C580,-3)</f>
        <v>1430000</v>
      </c>
      <c r="E580" s="20">
        <f t="shared" ref="E580:E643" si="46">ROUNDUP($C580*1.1,-3)</f>
        <v>1573000</v>
      </c>
      <c r="F580" s="20">
        <f t="shared" ref="F580:F643" si="47">ROUNDUP($C580*1.1*1.1,-3)</f>
        <v>1731000</v>
      </c>
      <c r="G580" s="20">
        <f t="shared" ref="G580:G643" si="48">ROUNDUP($C580*1.1*1.1*1.1,-3)</f>
        <v>1904000</v>
      </c>
      <c r="H580" s="20">
        <f t="shared" ref="H580:H643" si="49">ROUNDUP($C580*1.1*1.1*1.1*1.1,-3)</f>
        <v>2094000</v>
      </c>
    </row>
    <row r="581" spans="1:8">
      <c r="A581" s="274">
        <v>577</v>
      </c>
      <c r="B581" s="222" t="s">
        <v>2137</v>
      </c>
      <c r="C581" s="275">
        <v>214500.00000000003</v>
      </c>
      <c r="D581" s="20">
        <f t="shared" si="45"/>
        <v>215000</v>
      </c>
      <c r="E581" s="20">
        <f t="shared" si="46"/>
        <v>236000</v>
      </c>
      <c r="F581" s="20">
        <f t="shared" si="47"/>
        <v>260000</v>
      </c>
      <c r="G581" s="20">
        <f t="shared" si="48"/>
        <v>286000</v>
      </c>
      <c r="H581" s="20">
        <f t="shared" si="49"/>
        <v>315000</v>
      </c>
    </row>
    <row r="582" spans="1:8">
      <c r="A582" s="274">
        <v>578</v>
      </c>
      <c r="B582" s="222" t="s">
        <v>2138</v>
      </c>
      <c r="C582" s="275">
        <v>50050.000000000007</v>
      </c>
      <c r="D582" s="20">
        <f t="shared" si="45"/>
        <v>51000</v>
      </c>
      <c r="E582" s="20">
        <f t="shared" si="46"/>
        <v>56000</v>
      </c>
      <c r="F582" s="20">
        <f t="shared" si="47"/>
        <v>61000</v>
      </c>
      <c r="G582" s="20">
        <f t="shared" si="48"/>
        <v>67000</v>
      </c>
      <c r="H582" s="20">
        <f t="shared" si="49"/>
        <v>74000</v>
      </c>
    </row>
    <row r="583" spans="1:8">
      <c r="A583" s="274">
        <v>579</v>
      </c>
      <c r="B583" s="222" t="s">
        <v>2139</v>
      </c>
      <c r="C583" s="275">
        <v>71500</v>
      </c>
      <c r="D583" s="20">
        <f t="shared" si="45"/>
        <v>72000</v>
      </c>
      <c r="E583" s="20">
        <f t="shared" si="46"/>
        <v>79000</v>
      </c>
      <c r="F583" s="20">
        <f t="shared" si="47"/>
        <v>87000</v>
      </c>
      <c r="G583" s="20">
        <f t="shared" si="48"/>
        <v>96000</v>
      </c>
      <c r="H583" s="20">
        <f t="shared" si="49"/>
        <v>105000</v>
      </c>
    </row>
    <row r="584" spans="1:8">
      <c r="A584" s="274">
        <v>580</v>
      </c>
      <c r="B584" s="222" t="s">
        <v>2140</v>
      </c>
      <c r="C584" s="275">
        <v>286000</v>
      </c>
      <c r="D584" s="20">
        <f t="shared" si="45"/>
        <v>286000</v>
      </c>
      <c r="E584" s="20">
        <f t="shared" si="46"/>
        <v>315000</v>
      </c>
      <c r="F584" s="20">
        <f t="shared" si="47"/>
        <v>347000</v>
      </c>
      <c r="G584" s="20">
        <f t="shared" si="48"/>
        <v>381000</v>
      </c>
      <c r="H584" s="20">
        <f t="shared" si="49"/>
        <v>419000</v>
      </c>
    </row>
    <row r="585" spans="1:8">
      <c r="A585" s="274">
        <v>581</v>
      </c>
      <c r="B585" s="222" t="s">
        <v>2141</v>
      </c>
      <c r="C585" s="275">
        <v>643500</v>
      </c>
      <c r="D585" s="20">
        <f t="shared" si="45"/>
        <v>644000</v>
      </c>
      <c r="E585" s="20">
        <f t="shared" si="46"/>
        <v>708000</v>
      </c>
      <c r="F585" s="20">
        <f t="shared" si="47"/>
        <v>779000</v>
      </c>
      <c r="G585" s="20">
        <f t="shared" si="48"/>
        <v>857000</v>
      </c>
      <c r="H585" s="20">
        <f t="shared" si="49"/>
        <v>943000</v>
      </c>
    </row>
    <row r="586" spans="1:8">
      <c r="A586" s="274">
        <v>582</v>
      </c>
      <c r="B586" s="222" t="s">
        <v>2142</v>
      </c>
      <c r="C586" s="275">
        <v>643500</v>
      </c>
      <c r="D586" s="20">
        <f t="shared" si="45"/>
        <v>644000</v>
      </c>
      <c r="E586" s="20">
        <f t="shared" si="46"/>
        <v>708000</v>
      </c>
      <c r="F586" s="20">
        <f t="shared" si="47"/>
        <v>779000</v>
      </c>
      <c r="G586" s="20">
        <f t="shared" si="48"/>
        <v>857000</v>
      </c>
      <c r="H586" s="20">
        <f t="shared" si="49"/>
        <v>943000</v>
      </c>
    </row>
    <row r="587" spans="1:8">
      <c r="A587" s="274">
        <v>583</v>
      </c>
      <c r="B587" s="222" t="s">
        <v>2143</v>
      </c>
      <c r="C587" s="275">
        <v>1215500</v>
      </c>
      <c r="D587" s="20">
        <f t="shared" si="45"/>
        <v>1216000</v>
      </c>
      <c r="E587" s="20">
        <f t="shared" si="46"/>
        <v>1338000</v>
      </c>
      <c r="F587" s="20">
        <f t="shared" si="47"/>
        <v>1471000</v>
      </c>
      <c r="G587" s="20">
        <f t="shared" si="48"/>
        <v>1618000</v>
      </c>
      <c r="H587" s="20">
        <f t="shared" si="49"/>
        <v>1780000</v>
      </c>
    </row>
    <row r="588" spans="1:8">
      <c r="A588" s="274">
        <v>584</v>
      </c>
      <c r="B588" s="222" t="s">
        <v>2144</v>
      </c>
      <c r="C588" s="275">
        <v>1573000.0000000002</v>
      </c>
      <c r="D588" s="20">
        <f t="shared" si="45"/>
        <v>1573000</v>
      </c>
      <c r="E588" s="20">
        <f t="shared" si="46"/>
        <v>1731000</v>
      </c>
      <c r="F588" s="20">
        <f t="shared" si="47"/>
        <v>1904000</v>
      </c>
      <c r="G588" s="20">
        <f t="shared" si="48"/>
        <v>2094000</v>
      </c>
      <c r="H588" s="20">
        <f t="shared" si="49"/>
        <v>2304000</v>
      </c>
    </row>
    <row r="589" spans="1:8">
      <c r="A589" s="274">
        <v>585</v>
      </c>
      <c r="B589" s="222" t="s">
        <v>2145</v>
      </c>
      <c r="C589" s="275">
        <v>686400</v>
      </c>
      <c r="D589" s="20">
        <f t="shared" si="45"/>
        <v>687000</v>
      </c>
      <c r="E589" s="20">
        <f t="shared" si="46"/>
        <v>756000</v>
      </c>
      <c r="F589" s="20">
        <f t="shared" si="47"/>
        <v>831000</v>
      </c>
      <c r="G589" s="20">
        <f t="shared" si="48"/>
        <v>914000</v>
      </c>
      <c r="H589" s="20">
        <f t="shared" si="49"/>
        <v>1005000</v>
      </c>
    </row>
    <row r="590" spans="1:8">
      <c r="A590" s="274">
        <v>586</v>
      </c>
      <c r="B590" s="222" t="s">
        <v>2146</v>
      </c>
      <c r="C590" s="275">
        <v>686400</v>
      </c>
      <c r="D590" s="20">
        <f t="shared" si="45"/>
        <v>687000</v>
      </c>
      <c r="E590" s="20">
        <f t="shared" si="46"/>
        <v>756000</v>
      </c>
      <c r="F590" s="20">
        <f t="shared" si="47"/>
        <v>831000</v>
      </c>
      <c r="G590" s="20">
        <f t="shared" si="48"/>
        <v>914000</v>
      </c>
      <c r="H590" s="20">
        <f t="shared" si="49"/>
        <v>1005000</v>
      </c>
    </row>
    <row r="591" spans="1:8">
      <c r="A591" s="274">
        <v>587</v>
      </c>
      <c r="B591" s="222" t="s">
        <v>2147</v>
      </c>
      <c r="C591" s="275">
        <v>357500</v>
      </c>
      <c r="D591" s="20">
        <f t="shared" si="45"/>
        <v>358000</v>
      </c>
      <c r="E591" s="20">
        <f t="shared" si="46"/>
        <v>394000</v>
      </c>
      <c r="F591" s="20">
        <f t="shared" si="47"/>
        <v>433000</v>
      </c>
      <c r="G591" s="20">
        <f t="shared" si="48"/>
        <v>476000</v>
      </c>
      <c r="H591" s="20">
        <f t="shared" si="49"/>
        <v>524000</v>
      </c>
    </row>
    <row r="592" spans="1:8">
      <c r="A592" s="274">
        <v>588</v>
      </c>
      <c r="B592" s="222" t="s">
        <v>2148</v>
      </c>
      <c r="C592" s="275">
        <v>286000</v>
      </c>
      <c r="D592" s="20">
        <f t="shared" si="45"/>
        <v>286000</v>
      </c>
      <c r="E592" s="20">
        <f t="shared" si="46"/>
        <v>315000</v>
      </c>
      <c r="F592" s="20">
        <f t="shared" si="47"/>
        <v>347000</v>
      </c>
      <c r="G592" s="20">
        <f t="shared" si="48"/>
        <v>381000</v>
      </c>
      <c r="H592" s="20">
        <f t="shared" si="49"/>
        <v>419000</v>
      </c>
    </row>
    <row r="593" spans="1:8">
      <c r="A593" s="274">
        <v>589</v>
      </c>
      <c r="B593" s="222" t="s">
        <v>2149</v>
      </c>
      <c r="C593" s="275">
        <v>429000.00000000006</v>
      </c>
      <c r="D593" s="20">
        <f t="shared" si="45"/>
        <v>429000</v>
      </c>
      <c r="E593" s="20">
        <f t="shared" si="46"/>
        <v>472000</v>
      </c>
      <c r="F593" s="20">
        <f t="shared" si="47"/>
        <v>520000</v>
      </c>
      <c r="G593" s="20">
        <f t="shared" si="48"/>
        <v>571000</v>
      </c>
      <c r="H593" s="20">
        <f t="shared" si="49"/>
        <v>629000</v>
      </c>
    </row>
    <row r="594" spans="1:8">
      <c r="A594" s="274">
        <v>590</v>
      </c>
      <c r="B594" s="222" t="s">
        <v>2150</v>
      </c>
      <c r="C594" s="275">
        <v>71500</v>
      </c>
      <c r="D594" s="20">
        <f t="shared" si="45"/>
        <v>72000</v>
      </c>
      <c r="E594" s="20">
        <f t="shared" si="46"/>
        <v>79000</v>
      </c>
      <c r="F594" s="20">
        <f t="shared" si="47"/>
        <v>87000</v>
      </c>
      <c r="G594" s="20">
        <f t="shared" si="48"/>
        <v>96000</v>
      </c>
      <c r="H594" s="20">
        <f t="shared" si="49"/>
        <v>105000</v>
      </c>
    </row>
    <row r="595" spans="1:8">
      <c r="A595" s="274">
        <v>591</v>
      </c>
      <c r="B595" s="222" t="s">
        <v>2151</v>
      </c>
      <c r="C595" s="275">
        <v>715000</v>
      </c>
      <c r="D595" s="20">
        <f t="shared" si="45"/>
        <v>715000</v>
      </c>
      <c r="E595" s="20">
        <f t="shared" si="46"/>
        <v>787000</v>
      </c>
      <c r="F595" s="20">
        <f t="shared" si="47"/>
        <v>866000</v>
      </c>
      <c r="G595" s="20">
        <f t="shared" si="48"/>
        <v>952000</v>
      </c>
      <c r="H595" s="20">
        <f t="shared" si="49"/>
        <v>1047000</v>
      </c>
    </row>
    <row r="596" spans="1:8">
      <c r="A596" s="274">
        <v>592</v>
      </c>
      <c r="B596" s="222" t="s">
        <v>2152</v>
      </c>
      <c r="C596" s="275">
        <v>572000</v>
      </c>
      <c r="D596" s="20">
        <f t="shared" si="45"/>
        <v>572000</v>
      </c>
      <c r="E596" s="20">
        <f t="shared" si="46"/>
        <v>630000</v>
      </c>
      <c r="F596" s="20">
        <f t="shared" si="47"/>
        <v>693000</v>
      </c>
      <c r="G596" s="20">
        <f t="shared" si="48"/>
        <v>762000</v>
      </c>
      <c r="H596" s="20">
        <f t="shared" si="49"/>
        <v>838000</v>
      </c>
    </row>
    <row r="597" spans="1:8">
      <c r="A597" s="274">
        <v>593</v>
      </c>
      <c r="B597" s="222" t="s">
        <v>2153</v>
      </c>
      <c r="C597" s="275">
        <v>643500</v>
      </c>
      <c r="D597" s="20">
        <f t="shared" si="45"/>
        <v>644000</v>
      </c>
      <c r="E597" s="20">
        <f t="shared" si="46"/>
        <v>708000</v>
      </c>
      <c r="F597" s="20">
        <f t="shared" si="47"/>
        <v>779000</v>
      </c>
      <c r="G597" s="20">
        <f t="shared" si="48"/>
        <v>857000</v>
      </c>
      <c r="H597" s="20">
        <f t="shared" si="49"/>
        <v>943000</v>
      </c>
    </row>
    <row r="598" spans="1:8">
      <c r="A598" s="274">
        <v>594</v>
      </c>
      <c r="B598" s="222" t="s">
        <v>2154</v>
      </c>
      <c r="C598" s="275">
        <v>357500</v>
      </c>
      <c r="D598" s="20">
        <f t="shared" si="45"/>
        <v>358000</v>
      </c>
      <c r="E598" s="20">
        <f t="shared" si="46"/>
        <v>394000</v>
      </c>
      <c r="F598" s="20">
        <f t="shared" si="47"/>
        <v>433000</v>
      </c>
      <c r="G598" s="20">
        <f t="shared" si="48"/>
        <v>476000</v>
      </c>
      <c r="H598" s="20">
        <f t="shared" si="49"/>
        <v>524000</v>
      </c>
    </row>
    <row r="599" spans="1:8">
      <c r="A599" s="274">
        <v>595</v>
      </c>
      <c r="B599" s="222" t="s">
        <v>2155</v>
      </c>
      <c r="C599" s="275">
        <v>214500.00000000003</v>
      </c>
      <c r="D599" s="20">
        <f t="shared" si="45"/>
        <v>215000</v>
      </c>
      <c r="E599" s="20">
        <f t="shared" si="46"/>
        <v>236000</v>
      </c>
      <c r="F599" s="20">
        <f t="shared" si="47"/>
        <v>260000</v>
      </c>
      <c r="G599" s="20">
        <f t="shared" si="48"/>
        <v>286000</v>
      </c>
      <c r="H599" s="20">
        <f t="shared" si="49"/>
        <v>315000</v>
      </c>
    </row>
    <row r="600" spans="1:8">
      <c r="A600" s="274">
        <v>596</v>
      </c>
      <c r="B600" s="222" t="s">
        <v>2156</v>
      </c>
      <c r="C600" s="275">
        <v>143000</v>
      </c>
      <c r="D600" s="20">
        <f t="shared" si="45"/>
        <v>143000</v>
      </c>
      <c r="E600" s="20">
        <f t="shared" si="46"/>
        <v>158000</v>
      </c>
      <c r="F600" s="20">
        <f t="shared" si="47"/>
        <v>174000</v>
      </c>
      <c r="G600" s="20">
        <f t="shared" si="48"/>
        <v>191000</v>
      </c>
      <c r="H600" s="20">
        <f t="shared" si="49"/>
        <v>210000</v>
      </c>
    </row>
    <row r="601" spans="1:8">
      <c r="A601" s="274">
        <v>597</v>
      </c>
      <c r="B601" s="222" t="s">
        <v>2157</v>
      </c>
      <c r="C601" s="275">
        <v>286000</v>
      </c>
      <c r="D601" s="20">
        <f t="shared" si="45"/>
        <v>286000</v>
      </c>
      <c r="E601" s="20">
        <f t="shared" si="46"/>
        <v>315000</v>
      </c>
      <c r="F601" s="20">
        <f t="shared" si="47"/>
        <v>347000</v>
      </c>
      <c r="G601" s="20">
        <f t="shared" si="48"/>
        <v>381000</v>
      </c>
      <c r="H601" s="20">
        <f t="shared" si="49"/>
        <v>419000</v>
      </c>
    </row>
    <row r="602" spans="1:8">
      <c r="A602" s="274">
        <v>598</v>
      </c>
      <c r="B602" s="222" t="s">
        <v>2158</v>
      </c>
      <c r="C602" s="275">
        <v>572000</v>
      </c>
      <c r="D602" s="20">
        <f t="shared" si="45"/>
        <v>572000</v>
      </c>
      <c r="E602" s="20">
        <f t="shared" si="46"/>
        <v>630000</v>
      </c>
      <c r="F602" s="20">
        <f t="shared" si="47"/>
        <v>693000</v>
      </c>
      <c r="G602" s="20">
        <f t="shared" si="48"/>
        <v>762000</v>
      </c>
      <c r="H602" s="20">
        <f t="shared" si="49"/>
        <v>838000</v>
      </c>
    </row>
    <row r="603" spans="1:8">
      <c r="A603" s="274">
        <v>599</v>
      </c>
      <c r="B603" s="222" t="s">
        <v>2159</v>
      </c>
      <c r="C603" s="275">
        <v>500500.00000000006</v>
      </c>
      <c r="D603" s="20">
        <f t="shared" si="45"/>
        <v>501000</v>
      </c>
      <c r="E603" s="20">
        <f t="shared" si="46"/>
        <v>551000</v>
      </c>
      <c r="F603" s="20">
        <f t="shared" si="47"/>
        <v>606000</v>
      </c>
      <c r="G603" s="20">
        <f t="shared" si="48"/>
        <v>667000</v>
      </c>
      <c r="H603" s="20">
        <f t="shared" si="49"/>
        <v>733000</v>
      </c>
    </row>
    <row r="604" spans="1:8">
      <c r="A604" s="274">
        <v>600</v>
      </c>
      <c r="B604" s="222" t="s">
        <v>2160</v>
      </c>
      <c r="C604" s="275">
        <v>1573000.0000000002</v>
      </c>
      <c r="D604" s="20">
        <f t="shared" si="45"/>
        <v>1573000</v>
      </c>
      <c r="E604" s="20">
        <f t="shared" si="46"/>
        <v>1731000</v>
      </c>
      <c r="F604" s="20">
        <f t="shared" si="47"/>
        <v>1904000</v>
      </c>
      <c r="G604" s="20">
        <f t="shared" si="48"/>
        <v>2094000</v>
      </c>
      <c r="H604" s="20">
        <f t="shared" si="49"/>
        <v>2304000</v>
      </c>
    </row>
    <row r="605" spans="1:8">
      <c r="A605" s="274">
        <v>601</v>
      </c>
      <c r="B605" s="222" t="s">
        <v>2161</v>
      </c>
      <c r="C605" s="275">
        <v>1430000</v>
      </c>
      <c r="D605" s="20">
        <f t="shared" si="45"/>
        <v>1430000</v>
      </c>
      <c r="E605" s="20">
        <f t="shared" si="46"/>
        <v>1573000</v>
      </c>
      <c r="F605" s="20">
        <f t="shared" si="47"/>
        <v>1731000</v>
      </c>
      <c r="G605" s="20">
        <f t="shared" si="48"/>
        <v>1904000</v>
      </c>
      <c r="H605" s="20">
        <f t="shared" si="49"/>
        <v>2094000</v>
      </c>
    </row>
    <row r="606" spans="1:8">
      <c r="A606" s="274">
        <v>602</v>
      </c>
      <c r="B606" s="222" t="s">
        <v>2162</v>
      </c>
      <c r="C606" s="275">
        <v>2288000</v>
      </c>
      <c r="D606" s="20">
        <f t="shared" si="45"/>
        <v>2288000</v>
      </c>
      <c r="E606" s="20">
        <f t="shared" si="46"/>
        <v>2517000</v>
      </c>
      <c r="F606" s="20">
        <f t="shared" si="47"/>
        <v>2769000</v>
      </c>
      <c r="G606" s="20">
        <f t="shared" si="48"/>
        <v>3046000</v>
      </c>
      <c r="H606" s="20">
        <f t="shared" si="49"/>
        <v>3350000</v>
      </c>
    </row>
    <row r="607" spans="1:8">
      <c r="A607" s="274">
        <v>603</v>
      </c>
      <c r="B607" s="222" t="s">
        <v>2163</v>
      </c>
      <c r="C607" s="275">
        <v>994057.9</v>
      </c>
      <c r="D607" s="20">
        <f t="shared" si="45"/>
        <v>995000</v>
      </c>
      <c r="E607" s="20">
        <f t="shared" si="46"/>
        <v>1094000</v>
      </c>
      <c r="F607" s="20">
        <f t="shared" si="47"/>
        <v>1203000</v>
      </c>
      <c r="G607" s="20">
        <f t="shared" si="48"/>
        <v>1324000</v>
      </c>
      <c r="H607" s="20">
        <f t="shared" si="49"/>
        <v>1456000</v>
      </c>
    </row>
    <row r="608" spans="1:8">
      <c r="A608" s="274">
        <v>604</v>
      </c>
      <c r="B608" s="222" t="s">
        <v>2164</v>
      </c>
      <c r="C608" s="275">
        <v>2313411.1</v>
      </c>
      <c r="D608" s="20">
        <f t="shared" si="45"/>
        <v>2314000</v>
      </c>
      <c r="E608" s="20">
        <f t="shared" si="46"/>
        <v>2545000</v>
      </c>
      <c r="F608" s="20">
        <f t="shared" si="47"/>
        <v>2800000</v>
      </c>
      <c r="G608" s="20">
        <f t="shared" si="48"/>
        <v>3080000</v>
      </c>
      <c r="H608" s="20">
        <f t="shared" si="49"/>
        <v>3388000</v>
      </c>
    </row>
    <row r="609" spans="1:8">
      <c r="A609" s="274">
        <v>605</v>
      </c>
      <c r="B609" s="222" t="s">
        <v>2165</v>
      </c>
      <c r="C609" s="275">
        <v>4897614.7</v>
      </c>
      <c r="D609" s="20">
        <f t="shared" si="45"/>
        <v>4898000</v>
      </c>
      <c r="E609" s="20">
        <f t="shared" si="46"/>
        <v>5388000</v>
      </c>
      <c r="F609" s="20">
        <f t="shared" si="47"/>
        <v>5927000</v>
      </c>
      <c r="G609" s="20">
        <f t="shared" si="48"/>
        <v>6519000</v>
      </c>
      <c r="H609" s="20">
        <f t="shared" si="49"/>
        <v>7171000</v>
      </c>
    </row>
    <row r="610" spans="1:8">
      <c r="A610" s="274">
        <v>606</v>
      </c>
      <c r="B610" s="222" t="s">
        <v>2166</v>
      </c>
      <c r="C610" s="275">
        <v>9605761</v>
      </c>
      <c r="D610" s="20">
        <f t="shared" si="45"/>
        <v>9606000</v>
      </c>
      <c r="E610" s="20">
        <f t="shared" si="46"/>
        <v>10567000</v>
      </c>
      <c r="F610" s="20">
        <f t="shared" si="47"/>
        <v>11623000</v>
      </c>
      <c r="G610" s="20">
        <f t="shared" si="48"/>
        <v>12786000</v>
      </c>
      <c r="H610" s="20">
        <f t="shared" si="49"/>
        <v>14064000</v>
      </c>
    </row>
    <row r="611" spans="1:8">
      <c r="A611" s="274">
        <v>607</v>
      </c>
      <c r="B611" s="222" t="s">
        <v>2167</v>
      </c>
      <c r="C611" s="275">
        <v>8731959.5</v>
      </c>
      <c r="D611" s="20">
        <f t="shared" si="45"/>
        <v>8732000</v>
      </c>
      <c r="E611" s="20">
        <f t="shared" si="46"/>
        <v>9606000</v>
      </c>
      <c r="F611" s="20">
        <f t="shared" si="47"/>
        <v>10566000</v>
      </c>
      <c r="G611" s="20">
        <f t="shared" si="48"/>
        <v>11623000</v>
      </c>
      <c r="H611" s="20">
        <f t="shared" si="49"/>
        <v>12785000</v>
      </c>
    </row>
    <row r="612" spans="1:8">
      <c r="A612" s="274">
        <v>608</v>
      </c>
      <c r="B612" s="222" t="s">
        <v>2168</v>
      </c>
      <c r="C612" s="275">
        <v>15800235.000000002</v>
      </c>
      <c r="D612" s="20">
        <f t="shared" si="45"/>
        <v>15801000</v>
      </c>
      <c r="E612" s="20">
        <f t="shared" si="46"/>
        <v>17381000</v>
      </c>
      <c r="F612" s="20">
        <f t="shared" si="47"/>
        <v>19119000</v>
      </c>
      <c r="G612" s="20">
        <f t="shared" si="48"/>
        <v>21031000</v>
      </c>
      <c r="H612" s="20">
        <f t="shared" si="49"/>
        <v>23134000</v>
      </c>
    </row>
    <row r="613" spans="1:8">
      <c r="A613" s="274">
        <v>609</v>
      </c>
      <c r="B613" s="222" t="s">
        <v>2169</v>
      </c>
      <c r="C613" s="275">
        <v>14043118.100000001</v>
      </c>
      <c r="D613" s="20">
        <f t="shared" si="45"/>
        <v>14044000</v>
      </c>
      <c r="E613" s="20">
        <f t="shared" si="46"/>
        <v>15448000</v>
      </c>
      <c r="F613" s="20">
        <f t="shared" si="47"/>
        <v>16993000</v>
      </c>
      <c r="G613" s="20">
        <f t="shared" si="48"/>
        <v>18692000</v>
      </c>
      <c r="H613" s="20">
        <f t="shared" si="49"/>
        <v>20561000</v>
      </c>
    </row>
    <row r="614" spans="1:8">
      <c r="A614" s="274">
        <v>610</v>
      </c>
      <c r="B614" s="222" t="s">
        <v>2170</v>
      </c>
      <c r="C614" s="275">
        <v>15766496.9</v>
      </c>
      <c r="D614" s="20">
        <f t="shared" si="45"/>
        <v>15767000</v>
      </c>
      <c r="E614" s="20">
        <f t="shared" si="46"/>
        <v>17344000</v>
      </c>
      <c r="F614" s="20">
        <f t="shared" si="47"/>
        <v>19078000</v>
      </c>
      <c r="G614" s="20">
        <f t="shared" si="48"/>
        <v>20986000</v>
      </c>
      <c r="H614" s="20">
        <f t="shared" si="49"/>
        <v>23084000</v>
      </c>
    </row>
    <row r="615" spans="1:8">
      <c r="A615" s="274">
        <v>611</v>
      </c>
      <c r="B615" s="222" t="s">
        <v>2171</v>
      </c>
      <c r="C615" s="275">
        <v>17426717</v>
      </c>
      <c r="D615" s="20">
        <f t="shared" si="45"/>
        <v>17427000</v>
      </c>
      <c r="E615" s="20">
        <f t="shared" si="46"/>
        <v>19170000</v>
      </c>
      <c r="F615" s="20">
        <f t="shared" si="47"/>
        <v>21087000</v>
      </c>
      <c r="G615" s="20">
        <f t="shared" si="48"/>
        <v>23195000</v>
      </c>
      <c r="H615" s="20">
        <f t="shared" si="49"/>
        <v>25515000</v>
      </c>
    </row>
    <row r="616" spans="1:8">
      <c r="A616" s="274">
        <v>612</v>
      </c>
      <c r="B616" s="222" t="s">
        <v>2172</v>
      </c>
      <c r="C616" s="275">
        <v>13306874.9</v>
      </c>
      <c r="D616" s="20">
        <f t="shared" si="45"/>
        <v>13307000</v>
      </c>
      <c r="E616" s="20">
        <f t="shared" si="46"/>
        <v>14638000</v>
      </c>
      <c r="F616" s="20">
        <f t="shared" si="47"/>
        <v>16102000</v>
      </c>
      <c r="G616" s="20">
        <f t="shared" si="48"/>
        <v>17712000</v>
      </c>
      <c r="H616" s="20">
        <f t="shared" si="49"/>
        <v>19483000</v>
      </c>
    </row>
    <row r="617" spans="1:8">
      <c r="A617" s="274">
        <v>613</v>
      </c>
      <c r="B617" s="222" t="s">
        <v>2173</v>
      </c>
      <c r="C617" s="275">
        <v>12741929.200000001</v>
      </c>
      <c r="D617" s="20">
        <f t="shared" si="45"/>
        <v>12742000</v>
      </c>
      <c r="E617" s="20">
        <f t="shared" si="46"/>
        <v>14017000</v>
      </c>
      <c r="F617" s="20">
        <f t="shared" si="47"/>
        <v>15418000</v>
      </c>
      <c r="G617" s="20">
        <f t="shared" si="48"/>
        <v>16960000</v>
      </c>
      <c r="H617" s="20">
        <f t="shared" si="49"/>
        <v>18656000</v>
      </c>
    </row>
    <row r="618" spans="1:8">
      <c r="A618" s="274">
        <v>614</v>
      </c>
      <c r="B618" s="222" t="s">
        <v>2174</v>
      </c>
      <c r="C618" s="275">
        <v>13725605.300000001</v>
      </c>
      <c r="D618" s="20">
        <f t="shared" si="45"/>
        <v>13726000</v>
      </c>
      <c r="E618" s="20">
        <f t="shared" si="46"/>
        <v>15099000</v>
      </c>
      <c r="F618" s="20">
        <f t="shared" si="47"/>
        <v>16608000</v>
      </c>
      <c r="G618" s="20">
        <f t="shared" si="48"/>
        <v>18269000</v>
      </c>
      <c r="H618" s="20">
        <f t="shared" si="49"/>
        <v>20096000</v>
      </c>
    </row>
    <row r="619" spans="1:8">
      <c r="A619" s="274">
        <v>615</v>
      </c>
      <c r="B619" s="222" t="s">
        <v>2175</v>
      </c>
      <c r="C619" s="275">
        <v>231860.2</v>
      </c>
      <c r="D619" s="20">
        <f t="shared" si="45"/>
        <v>232000</v>
      </c>
      <c r="E619" s="20">
        <f t="shared" si="46"/>
        <v>256000</v>
      </c>
      <c r="F619" s="20">
        <f t="shared" si="47"/>
        <v>281000</v>
      </c>
      <c r="G619" s="20">
        <f t="shared" si="48"/>
        <v>309000</v>
      </c>
      <c r="H619" s="20">
        <f t="shared" si="49"/>
        <v>340000</v>
      </c>
    </row>
    <row r="620" spans="1:8">
      <c r="A620" s="274">
        <v>616</v>
      </c>
      <c r="B620" s="222" t="s">
        <v>2176</v>
      </c>
      <c r="C620" s="275">
        <v>1931880.5000000002</v>
      </c>
      <c r="D620" s="20">
        <f t="shared" si="45"/>
        <v>1932000</v>
      </c>
      <c r="E620" s="20">
        <f t="shared" si="46"/>
        <v>2126000</v>
      </c>
      <c r="F620" s="20">
        <f t="shared" si="47"/>
        <v>2338000</v>
      </c>
      <c r="G620" s="20">
        <f t="shared" si="48"/>
        <v>2572000</v>
      </c>
      <c r="H620" s="20">
        <f t="shared" si="49"/>
        <v>2829000</v>
      </c>
    </row>
    <row r="621" spans="1:8">
      <c r="A621" s="274">
        <v>617</v>
      </c>
      <c r="B621" s="222" t="s">
        <v>2177</v>
      </c>
      <c r="C621" s="275">
        <v>998383.10000000009</v>
      </c>
      <c r="D621" s="20">
        <f t="shared" si="45"/>
        <v>999000</v>
      </c>
      <c r="E621" s="20">
        <f t="shared" si="46"/>
        <v>1099000</v>
      </c>
      <c r="F621" s="20">
        <f t="shared" si="47"/>
        <v>1209000</v>
      </c>
      <c r="G621" s="20">
        <f t="shared" si="48"/>
        <v>1329000</v>
      </c>
      <c r="H621" s="20">
        <f t="shared" si="49"/>
        <v>1462000</v>
      </c>
    </row>
    <row r="622" spans="1:8">
      <c r="A622" s="274">
        <v>618</v>
      </c>
      <c r="B622" s="222" t="s">
        <v>2178</v>
      </c>
      <c r="C622" s="275">
        <v>998383.10000000009</v>
      </c>
      <c r="D622" s="20">
        <f t="shared" si="45"/>
        <v>999000</v>
      </c>
      <c r="E622" s="20">
        <f t="shared" si="46"/>
        <v>1099000</v>
      </c>
      <c r="F622" s="20">
        <f t="shared" si="47"/>
        <v>1209000</v>
      </c>
      <c r="G622" s="20">
        <f t="shared" si="48"/>
        <v>1329000</v>
      </c>
      <c r="H622" s="20">
        <f t="shared" si="49"/>
        <v>1462000</v>
      </c>
    </row>
    <row r="623" spans="1:8">
      <c r="A623" s="274">
        <v>619</v>
      </c>
      <c r="B623" s="222" t="s">
        <v>2179</v>
      </c>
      <c r="C623" s="275">
        <v>1578036.9000000001</v>
      </c>
      <c r="D623" s="20">
        <f t="shared" si="45"/>
        <v>1579000</v>
      </c>
      <c r="E623" s="20">
        <f t="shared" si="46"/>
        <v>1736000</v>
      </c>
      <c r="F623" s="20">
        <f t="shared" si="47"/>
        <v>1910000</v>
      </c>
      <c r="G623" s="20">
        <f t="shared" si="48"/>
        <v>2101000</v>
      </c>
      <c r="H623" s="20">
        <f t="shared" si="49"/>
        <v>2311000</v>
      </c>
    </row>
    <row r="624" spans="1:8">
      <c r="A624" s="274">
        <v>620</v>
      </c>
      <c r="B624" s="222" t="s">
        <v>2180</v>
      </c>
      <c r="C624" s="275">
        <v>2493365.6</v>
      </c>
      <c r="D624" s="20">
        <f t="shared" si="45"/>
        <v>2494000</v>
      </c>
      <c r="E624" s="20">
        <f t="shared" si="46"/>
        <v>2743000</v>
      </c>
      <c r="F624" s="20">
        <f t="shared" si="47"/>
        <v>3017000</v>
      </c>
      <c r="G624" s="20">
        <f t="shared" si="48"/>
        <v>3319000</v>
      </c>
      <c r="H624" s="20">
        <f t="shared" si="49"/>
        <v>3651000</v>
      </c>
    </row>
    <row r="625" spans="1:8">
      <c r="A625" s="274">
        <v>621</v>
      </c>
      <c r="B625" s="222" t="s">
        <v>2181</v>
      </c>
      <c r="C625" s="275">
        <v>2601506.6</v>
      </c>
      <c r="D625" s="20">
        <f t="shared" si="45"/>
        <v>2602000</v>
      </c>
      <c r="E625" s="20">
        <f t="shared" si="46"/>
        <v>2862000</v>
      </c>
      <c r="F625" s="20">
        <f t="shared" si="47"/>
        <v>3148000</v>
      </c>
      <c r="G625" s="20">
        <f t="shared" si="48"/>
        <v>3463000</v>
      </c>
      <c r="H625" s="20">
        <f t="shared" si="49"/>
        <v>3809000</v>
      </c>
    </row>
    <row r="626" spans="1:8">
      <c r="A626" s="274">
        <v>622</v>
      </c>
      <c r="B626" s="222" t="s">
        <v>2182</v>
      </c>
      <c r="C626" s="275">
        <v>1829792.8</v>
      </c>
      <c r="D626" s="20">
        <f t="shared" si="45"/>
        <v>1830000</v>
      </c>
      <c r="E626" s="20">
        <f t="shared" si="46"/>
        <v>2013000</v>
      </c>
      <c r="F626" s="20">
        <f t="shared" si="47"/>
        <v>2215000</v>
      </c>
      <c r="G626" s="20">
        <f t="shared" si="48"/>
        <v>2436000</v>
      </c>
      <c r="H626" s="20">
        <f t="shared" si="49"/>
        <v>2679000</v>
      </c>
    </row>
    <row r="627" spans="1:8">
      <c r="A627" s="274">
        <v>623</v>
      </c>
      <c r="B627" s="222" t="s">
        <v>2183</v>
      </c>
      <c r="C627" s="275">
        <v>315782.5</v>
      </c>
      <c r="D627" s="20">
        <f t="shared" si="45"/>
        <v>316000</v>
      </c>
      <c r="E627" s="20">
        <f t="shared" si="46"/>
        <v>348000</v>
      </c>
      <c r="F627" s="20">
        <f t="shared" si="47"/>
        <v>383000</v>
      </c>
      <c r="G627" s="20">
        <f t="shared" si="48"/>
        <v>421000</v>
      </c>
      <c r="H627" s="20">
        <f t="shared" si="49"/>
        <v>463000</v>
      </c>
    </row>
    <row r="628" spans="1:8">
      <c r="A628" s="274">
        <v>624</v>
      </c>
      <c r="B628" s="222" t="s">
        <v>2184</v>
      </c>
      <c r="C628" s="275">
        <v>315782.5</v>
      </c>
      <c r="D628" s="20">
        <f t="shared" si="45"/>
        <v>316000</v>
      </c>
      <c r="E628" s="20">
        <f t="shared" si="46"/>
        <v>348000</v>
      </c>
      <c r="F628" s="20">
        <f t="shared" si="47"/>
        <v>383000</v>
      </c>
      <c r="G628" s="20">
        <f t="shared" si="48"/>
        <v>421000</v>
      </c>
      <c r="H628" s="20">
        <f t="shared" si="49"/>
        <v>463000</v>
      </c>
    </row>
    <row r="629" spans="1:8">
      <c r="A629" s="274">
        <v>625</v>
      </c>
      <c r="B629" s="222" t="s">
        <v>2185</v>
      </c>
      <c r="C629" s="275">
        <v>1399812.7000000002</v>
      </c>
      <c r="D629" s="20">
        <f t="shared" si="45"/>
        <v>1400000</v>
      </c>
      <c r="E629" s="20">
        <f t="shared" si="46"/>
        <v>1540000</v>
      </c>
      <c r="F629" s="20">
        <f t="shared" si="47"/>
        <v>1694000</v>
      </c>
      <c r="G629" s="20">
        <f t="shared" si="48"/>
        <v>1864000</v>
      </c>
      <c r="H629" s="20">
        <f t="shared" si="49"/>
        <v>2050000</v>
      </c>
    </row>
    <row r="630" spans="1:8">
      <c r="A630" s="274">
        <v>626</v>
      </c>
      <c r="B630" s="222" t="s">
        <v>2186</v>
      </c>
      <c r="C630" s="275">
        <v>1443935.9000000001</v>
      </c>
      <c r="D630" s="20">
        <f t="shared" si="45"/>
        <v>1444000</v>
      </c>
      <c r="E630" s="20">
        <f t="shared" si="46"/>
        <v>1589000</v>
      </c>
      <c r="F630" s="20">
        <f t="shared" si="47"/>
        <v>1748000</v>
      </c>
      <c r="G630" s="20">
        <f t="shared" si="48"/>
        <v>1922000</v>
      </c>
      <c r="H630" s="20">
        <f t="shared" si="49"/>
        <v>2115000</v>
      </c>
    </row>
    <row r="631" spans="1:8">
      <c r="A631" s="274">
        <v>627</v>
      </c>
      <c r="B631" s="222" t="s">
        <v>2187</v>
      </c>
      <c r="C631" s="275">
        <v>1363476.4000000001</v>
      </c>
      <c r="D631" s="20">
        <f t="shared" si="45"/>
        <v>1364000</v>
      </c>
      <c r="E631" s="20">
        <f t="shared" si="46"/>
        <v>1500000</v>
      </c>
      <c r="F631" s="20">
        <f t="shared" si="47"/>
        <v>1650000</v>
      </c>
      <c r="G631" s="20">
        <f t="shared" si="48"/>
        <v>1815000</v>
      </c>
      <c r="H631" s="20">
        <f t="shared" si="49"/>
        <v>1997000</v>
      </c>
    </row>
    <row r="632" spans="1:8">
      <c r="A632" s="274">
        <v>628</v>
      </c>
      <c r="B632" s="222" t="s">
        <v>2188</v>
      </c>
      <c r="C632" s="275">
        <v>252627.10000000003</v>
      </c>
      <c r="D632" s="20">
        <f t="shared" si="45"/>
        <v>253000</v>
      </c>
      <c r="E632" s="20">
        <f t="shared" si="46"/>
        <v>278000</v>
      </c>
      <c r="F632" s="20">
        <f t="shared" si="47"/>
        <v>306000</v>
      </c>
      <c r="G632" s="20">
        <f t="shared" si="48"/>
        <v>337000</v>
      </c>
      <c r="H632" s="20">
        <f t="shared" si="49"/>
        <v>370000</v>
      </c>
    </row>
    <row r="633" spans="1:8">
      <c r="A633" s="274">
        <v>629</v>
      </c>
      <c r="B633" s="222" t="s">
        <v>2189</v>
      </c>
      <c r="C633" s="275">
        <v>928306.50000000012</v>
      </c>
      <c r="D633" s="20">
        <f t="shared" si="45"/>
        <v>929000</v>
      </c>
      <c r="E633" s="20">
        <f t="shared" si="46"/>
        <v>1022000</v>
      </c>
      <c r="F633" s="20">
        <f t="shared" si="47"/>
        <v>1124000</v>
      </c>
      <c r="G633" s="20">
        <f t="shared" si="48"/>
        <v>1236000</v>
      </c>
      <c r="H633" s="20">
        <f t="shared" si="49"/>
        <v>1360000</v>
      </c>
    </row>
    <row r="634" spans="1:8">
      <c r="A634" s="274">
        <v>630</v>
      </c>
      <c r="B634" s="222" t="s">
        <v>2190</v>
      </c>
      <c r="C634" s="275">
        <v>180816.90000000002</v>
      </c>
      <c r="D634" s="20">
        <f t="shared" si="45"/>
        <v>181000</v>
      </c>
      <c r="E634" s="20">
        <f t="shared" si="46"/>
        <v>199000</v>
      </c>
      <c r="F634" s="20">
        <f t="shared" si="47"/>
        <v>219000</v>
      </c>
      <c r="G634" s="20">
        <f t="shared" si="48"/>
        <v>241000</v>
      </c>
      <c r="H634" s="20">
        <f t="shared" si="49"/>
        <v>265000</v>
      </c>
    </row>
    <row r="635" spans="1:8">
      <c r="A635" s="274">
        <v>631</v>
      </c>
      <c r="B635" s="222" t="s">
        <v>2191</v>
      </c>
      <c r="C635" s="275">
        <v>195523.90000000002</v>
      </c>
      <c r="D635" s="20">
        <f t="shared" si="45"/>
        <v>196000</v>
      </c>
      <c r="E635" s="20">
        <f t="shared" si="46"/>
        <v>216000</v>
      </c>
      <c r="F635" s="20">
        <f t="shared" si="47"/>
        <v>237000</v>
      </c>
      <c r="G635" s="20">
        <f t="shared" si="48"/>
        <v>261000</v>
      </c>
      <c r="H635" s="20">
        <f t="shared" si="49"/>
        <v>287000</v>
      </c>
    </row>
    <row r="636" spans="1:8">
      <c r="A636" s="274">
        <v>632</v>
      </c>
      <c r="B636" s="222" t="s">
        <v>2192</v>
      </c>
      <c r="C636" s="275">
        <v>90841.3</v>
      </c>
      <c r="D636" s="20">
        <f t="shared" si="45"/>
        <v>91000</v>
      </c>
      <c r="E636" s="20">
        <f t="shared" si="46"/>
        <v>100000</v>
      </c>
      <c r="F636" s="20">
        <f t="shared" si="47"/>
        <v>110000</v>
      </c>
      <c r="G636" s="20">
        <f t="shared" si="48"/>
        <v>121000</v>
      </c>
      <c r="H636" s="20">
        <f t="shared" si="49"/>
        <v>134000</v>
      </c>
    </row>
    <row r="637" spans="1:8">
      <c r="A637" s="274">
        <v>633</v>
      </c>
      <c r="B637" s="222" t="s">
        <v>2193</v>
      </c>
      <c r="C637" s="275">
        <v>195523.90000000002</v>
      </c>
      <c r="D637" s="20">
        <f t="shared" si="45"/>
        <v>196000</v>
      </c>
      <c r="E637" s="20">
        <f t="shared" si="46"/>
        <v>216000</v>
      </c>
      <c r="F637" s="20">
        <f t="shared" si="47"/>
        <v>237000</v>
      </c>
      <c r="G637" s="20">
        <f t="shared" si="48"/>
        <v>261000</v>
      </c>
      <c r="H637" s="20">
        <f t="shared" si="49"/>
        <v>287000</v>
      </c>
    </row>
    <row r="638" spans="1:8">
      <c r="A638" s="274">
        <v>634</v>
      </c>
      <c r="B638" s="222" t="s">
        <v>2194</v>
      </c>
      <c r="C638" s="275">
        <v>542449.60000000009</v>
      </c>
      <c r="D638" s="20">
        <f t="shared" si="45"/>
        <v>543000</v>
      </c>
      <c r="E638" s="20">
        <f t="shared" si="46"/>
        <v>597000</v>
      </c>
      <c r="F638" s="20">
        <f t="shared" si="47"/>
        <v>657000</v>
      </c>
      <c r="G638" s="20">
        <f t="shared" si="48"/>
        <v>723000</v>
      </c>
      <c r="H638" s="20">
        <f t="shared" si="49"/>
        <v>795000</v>
      </c>
    </row>
    <row r="639" spans="1:8">
      <c r="A639" s="274">
        <v>635</v>
      </c>
      <c r="B639" s="222" t="s">
        <v>2195</v>
      </c>
      <c r="C639" s="275">
        <v>157457.30000000002</v>
      </c>
      <c r="D639" s="20">
        <f t="shared" si="45"/>
        <v>158000</v>
      </c>
      <c r="E639" s="20">
        <f t="shared" si="46"/>
        <v>174000</v>
      </c>
      <c r="F639" s="20">
        <f t="shared" si="47"/>
        <v>191000</v>
      </c>
      <c r="G639" s="20">
        <f t="shared" si="48"/>
        <v>210000</v>
      </c>
      <c r="H639" s="20">
        <f t="shared" si="49"/>
        <v>231000</v>
      </c>
    </row>
    <row r="640" spans="1:8">
      <c r="A640" s="274">
        <v>636</v>
      </c>
      <c r="B640" s="222" t="s">
        <v>2196</v>
      </c>
      <c r="C640" s="275">
        <v>465450.7</v>
      </c>
      <c r="D640" s="20">
        <f t="shared" si="45"/>
        <v>466000</v>
      </c>
      <c r="E640" s="20">
        <f t="shared" si="46"/>
        <v>512000</v>
      </c>
      <c r="F640" s="20">
        <f t="shared" si="47"/>
        <v>564000</v>
      </c>
      <c r="G640" s="20">
        <f t="shared" si="48"/>
        <v>620000</v>
      </c>
      <c r="H640" s="20">
        <f t="shared" si="49"/>
        <v>682000</v>
      </c>
    </row>
    <row r="641" spans="1:8">
      <c r="A641" s="274">
        <v>637</v>
      </c>
      <c r="B641" s="222" t="s">
        <v>2197</v>
      </c>
      <c r="C641" s="275">
        <v>1153245.5</v>
      </c>
      <c r="D641" s="20">
        <f t="shared" si="45"/>
        <v>1154000</v>
      </c>
      <c r="E641" s="20">
        <f t="shared" si="46"/>
        <v>1269000</v>
      </c>
      <c r="F641" s="20">
        <f t="shared" si="47"/>
        <v>1396000</v>
      </c>
      <c r="G641" s="20">
        <f t="shared" si="48"/>
        <v>1535000</v>
      </c>
      <c r="H641" s="20">
        <f t="shared" si="49"/>
        <v>1689000</v>
      </c>
    </row>
    <row r="642" spans="1:8">
      <c r="A642" s="274">
        <v>638</v>
      </c>
      <c r="B642" s="222" t="s">
        <v>2198</v>
      </c>
      <c r="C642" s="275">
        <v>1153245.5</v>
      </c>
      <c r="D642" s="20">
        <f t="shared" si="45"/>
        <v>1154000</v>
      </c>
      <c r="E642" s="20">
        <f t="shared" si="46"/>
        <v>1269000</v>
      </c>
      <c r="F642" s="20">
        <f t="shared" si="47"/>
        <v>1396000</v>
      </c>
      <c r="G642" s="20">
        <f t="shared" si="48"/>
        <v>1535000</v>
      </c>
      <c r="H642" s="20">
        <f t="shared" si="49"/>
        <v>1689000</v>
      </c>
    </row>
    <row r="643" spans="1:8">
      <c r="A643" s="274">
        <v>639</v>
      </c>
      <c r="B643" s="222" t="s">
        <v>2199</v>
      </c>
      <c r="C643" s="275">
        <v>1616100.2000000002</v>
      </c>
      <c r="D643" s="20">
        <f t="shared" si="45"/>
        <v>1617000</v>
      </c>
      <c r="E643" s="20">
        <f t="shared" si="46"/>
        <v>1778000</v>
      </c>
      <c r="F643" s="20">
        <f t="shared" si="47"/>
        <v>1956000</v>
      </c>
      <c r="G643" s="20">
        <f t="shared" si="48"/>
        <v>2152000</v>
      </c>
      <c r="H643" s="20">
        <f t="shared" si="49"/>
        <v>2367000</v>
      </c>
    </row>
    <row r="644" spans="1:8">
      <c r="A644" s="274">
        <v>640</v>
      </c>
      <c r="B644" s="222" t="s">
        <v>2200</v>
      </c>
      <c r="C644" s="275">
        <v>1616100.2000000002</v>
      </c>
      <c r="D644" s="20">
        <f t="shared" ref="D644:D707" si="50">ROUNDUP(C644,-3)</f>
        <v>1617000</v>
      </c>
      <c r="E644" s="20">
        <f t="shared" ref="E644:E707" si="51">ROUNDUP($C644*1.1,-3)</f>
        <v>1778000</v>
      </c>
      <c r="F644" s="20">
        <f t="shared" ref="F644:F707" si="52">ROUNDUP($C644*1.1*1.1,-3)</f>
        <v>1956000</v>
      </c>
      <c r="G644" s="20">
        <f t="shared" ref="G644:G707" si="53">ROUNDUP($C644*1.1*1.1*1.1,-3)</f>
        <v>2152000</v>
      </c>
      <c r="H644" s="20">
        <f t="shared" ref="H644:H707" si="54">ROUNDUP($C644*1.1*1.1*1.1*1.1,-3)</f>
        <v>2367000</v>
      </c>
    </row>
    <row r="645" spans="1:8">
      <c r="A645" s="274">
        <v>641</v>
      </c>
      <c r="B645" s="222" t="s">
        <v>2201</v>
      </c>
      <c r="C645" s="275">
        <v>1731165.7000000002</v>
      </c>
      <c r="D645" s="20">
        <f t="shared" si="50"/>
        <v>1732000</v>
      </c>
      <c r="E645" s="20">
        <f t="shared" si="51"/>
        <v>1905000</v>
      </c>
      <c r="F645" s="20">
        <f t="shared" si="52"/>
        <v>2095000</v>
      </c>
      <c r="G645" s="20">
        <f t="shared" si="53"/>
        <v>2305000</v>
      </c>
      <c r="H645" s="20">
        <f t="shared" si="54"/>
        <v>2535000</v>
      </c>
    </row>
    <row r="646" spans="1:8">
      <c r="A646" s="274">
        <v>642</v>
      </c>
      <c r="B646" s="222" t="s">
        <v>2202</v>
      </c>
      <c r="C646" s="275">
        <v>264735.90000000002</v>
      </c>
      <c r="D646" s="20">
        <f t="shared" si="50"/>
        <v>265000</v>
      </c>
      <c r="E646" s="20">
        <f t="shared" si="51"/>
        <v>292000</v>
      </c>
      <c r="F646" s="20">
        <f t="shared" si="52"/>
        <v>321000</v>
      </c>
      <c r="G646" s="20">
        <f t="shared" si="53"/>
        <v>353000</v>
      </c>
      <c r="H646" s="20">
        <f t="shared" si="54"/>
        <v>388000</v>
      </c>
    </row>
    <row r="647" spans="1:8">
      <c r="A647" s="274">
        <v>643</v>
      </c>
      <c r="B647" s="222" t="s">
        <v>2203</v>
      </c>
      <c r="C647" s="275">
        <v>876397.50000000012</v>
      </c>
      <c r="D647" s="20">
        <f t="shared" si="50"/>
        <v>877000</v>
      </c>
      <c r="E647" s="20">
        <f t="shared" si="51"/>
        <v>965000</v>
      </c>
      <c r="F647" s="20">
        <f t="shared" si="52"/>
        <v>1061000</v>
      </c>
      <c r="G647" s="20">
        <f t="shared" si="53"/>
        <v>1167000</v>
      </c>
      <c r="H647" s="20">
        <f t="shared" si="54"/>
        <v>1284000</v>
      </c>
    </row>
    <row r="648" spans="1:8">
      <c r="A648" s="274">
        <v>644</v>
      </c>
      <c r="B648" s="222" t="s">
        <v>2204</v>
      </c>
      <c r="C648" s="275">
        <v>1367804.9000000001</v>
      </c>
      <c r="D648" s="20">
        <f t="shared" si="50"/>
        <v>1368000</v>
      </c>
      <c r="E648" s="20">
        <f t="shared" si="51"/>
        <v>1505000</v>
      </c>
      <c r="F648" s="20">
        <f t="shared" si="52"/>
        <v>1656000</v>
      </c>
      <c r="G648" s="20">
        <f t="shared" si="53"/>
        <v>1821000</v>
      </c>
      <c r="H648" s="20">
        <f t="shared" si="54"/>
        <v>2003000</v>
      </c>
    </row>
    <row r="649" spans="1:8">
      <c r="A649" s="274">
        <v>645</v>
      </c>
      <c r="B649" s="222" t="s">
        <v>2205</v>
      </c>
      <c r="C649" s="275">
        <v>155730.30000000002</v>
      </c>
      <c r="D649" s="20">
        <f t="shared" si="50"/>
        <v>156000</v>
      </c>
      <c r="E649" s="20">
        <f t="shared" si="51"/>
        <v>172000</v>
      </c>
      <c r="F649" s="20">
        <f t="shared" si="52"/>
        <v>189000</v>
      </c>
      <c r="G649" s="20">
        <f t="shared" si="53"/>
        <v>208000</v>
      </c>
      <c r="H649" s="20">
        <f t="shared" si="54"/>
        <v>229000</v>
      </c>
    </row>
    <row r="650" spans="1:8">
      <c r="A650" s="274">
        <v>646</v>
      </c>
      <c r="B650" s="222" t="s">
        <v>2206</v>
      </c>
      <c r="C650" s="275">
        <v>1876510.9000000001</v>
      </c>
      <c r="D650" s="20">
        <f t="shared" si="50"/>
        <v>1877000</v>
      </c>
      <c r="E650" s="20">
        <f t="shared" si="51"/>
        <v>2065000</v>
      </c>
      <c r="F650" s="20">
        <f t="shared" si="52"/>
        <v>2271000</v>
      </c>
      <c r="G650" s="20">
        <f t="shared" si="53"/>
        <v>2498000</v>
      </c>
      <c r="H650" s="20">
        <f t="shared" si="54"/>
        <v>2748000</v>
      </c>
    </row>
    <row r="651" spans="1:8">
      <c r="A651" s="274">
        <v>647</v>
      </c>
      <c r="B651" s="222" t="s">
        <v>2207</v>
      </c>
      <c r="C651" s="275">
        <v>1925000.0000000002</v>
      </c>
      <c r="D651" s="20">
        <f t="shared" si="50"/>
        <v>1925000</v>
      </c>
      <c r="E651" s="20">
        <f t="shared" si="51"/>
        <v>2118000</v>
      </c>
      <c r="F651" s="20">
        <f t="shared" si="52"/>
        <v>2330000</v>
      </c>
      <c r="G651" s="20">
        <f t="shared" si="53"/>
        <v>2563000</v>
      </c>
      <c r="H651" s="20">
        <f t="shared" si="54"/>
        <v>2819000</v>
      </c>
    </row>
    <row r="652" spans="1:8">
      <c r="A652" s="274">
        <v>648</v>
      </c>
      <c r="B652" s="222" t="s">
        <v>2208</v>
      </c>
      <c r="C652" s="275">
        <v>2090000.0000000002</v>
      </c>
      <c r="D652" s="20">
        <f t="shared" si="50"/>
        <v>2090000</v>
      </c>
      <c r="E652" s="20">
        <f t="shared" si="51"/>
        <v>2299000</v>
      </c>
      <c r="F652" s="20">
        <f t="shared" si="52"/>
        <v>2529000</v>
      </c>
      <c r="G652" s="20">
        <f t="shared" si="53"/>
        <v>2782000</v>
      </c>
      <c r="H652" s="20">
        <f t="shared" si="54"/>
        <v>3060000</v>
      </c>
    </row>
    <row r="653" spans="1:8">
      <c r="A653" s="274">
        <v>649</v>
      </c>
      <c r="B653" s="222" t="s">
        <v>2209</v>
      </c>
      <c r="C653" s="275">
        <v>2090000.0000000002</v>
      </c>
      <c r="D653" s="20">
        <f t="shared" si="50"/>
        <v>2090000</v>
      </c>
      <c r="E653" s="20">
        <f t="shared" si="51"/>
        <v>2299000</v>
      </c>
      <c r="F653" s="20">
        <f t="shared" si="52"/>
        <v>2529000</v>
      </c>
      <c r="G653" s="20">
        <f t="shared" si="53"/>
        <v>2782000</v>
      </c>
      <c r="H653" s="20">
        <f t="shared" si="54"/>
        <v>3060000</v>
      </c>
    </row>
    <row r="654" spans="1:8">
      <c r="A654" s="274">
        <v>650</v>
      </c>
      <c r="B654" s="222" t="s">
        <v>2210</v>
      </c>
      <c r="C654" s="275">
        <v>1595000.0000000002</v>
      </c>
      <c r="D654" s="20">
        <f t="shared" si="50"/>
        <v>1595000</v>
      </c>
      <c r="E654" s="20">
        <f t="shared" si="51"/>
        <v>1755000</v>
      </c>
      <c r="F654" s="20">
        <f t="shared" si="52"/>
        <v>1930000</v>
      </c>
      <c r="G654" s="20">
        <f t="shared" si="53"/>
        <v>2123000</v>
      </c>
      <c r="H654" s="20">
        <f t="shared" si="54"/>
        <v>2336000</v>
      </c>
    </row>
    <row r="655" spans="1:8">
      <c r="A655" s="274">
        <v>651</v>
      </c>
      <c r="B655" s="222" t="s">
        <v>2211</v>
      </c>
      <c r="C655" s="275">
        <v>3850000.0000000005</v>
      </c>
      <c r="D655" s="20">
        <f t="shared" si="50"/>
        <v>3850000</v>
      </c>
      <c r="E655" s="20">
        <f t="shared" si="51"/>
        <v>4235000</v>
      </c>
      <c r="F655" s="20">
        <f t="shared" si="52"/>
        <v>4659000</v>
      </c>
      <c r="G655" s="20">
        <f t="shared" si="53"/>
        <v>5125000</v>
      </c>
      <c r="H655" s="20">
        <f t="shared" si="54"/>
        <v>5637000</v>
      </c>
    </row>
    <row r="656" spans="1:8">
      <c r="A656" s="274">
        <v>652</v>
      </c>
      <c r="B656" s="222" t="s">
        <v>2212</v>
      </c>
      <c r="C656" s="275">
        <v>1650000.0000000002</v>
      </c>
      <c r="D656" s="20">
        <f t="shared" si="50"/>
        <v>1650000</v>
      </c>
      <c r="E656" s="20">
        <f t="shared" si="51"/>
        <v>1815000</v>
      </c>
      <c r="F656" s="20">
        <f t="shared" si="52"/>
        <v>1997000</v>
      </c>
      <c r="G656" s="20">
        <f t="shared" si="53"/>
        <v>2197000</v>
      </c>
      <c r="H656" s="20">
        <f t="shared" si="54"/>
        <v>2416000</v>
      </c>
    </row>
    <row r="657" spans="1:8">
      <c r="A657" s="274">
        <v>653</v>
      </c>
      <c r="B657" s="222" t="s">
        <v>2213</v>
      </c>
      <c r="C657" s="275">
        <v>330000</v>
      </c>
      <c r="D657" s="20">
        <f t="shared" si="50"/>
        <v>330000</v>
      </c>
      <c r="E657" s="20">
        <f t="shared" si="51"/>
        <v>363000</v>
      </c>
      <c r="F657" s="20">
        <f t="shared" si="52"/>
        <v>400000</v>
      </c>
      <c r="G657" s="20">
        <f t="shared" si="53"/>
        <v>440000</v>
      </c>
      <c r="H657" s="20">
        <f t="shared" si="54"/>
        <v>484000</v>
      </c>
    </row>
    <row r="658" spans="1:8">
      <c r="A658" s="274">
        <v>654</v>
      </c>
      <c r="B658" s="222" t="s">
        <v>2214</v>
      </c>
      <c r="C658" s="275">
        <v>2310000</v>
      </c>
      <c r="D658" s="20">
        <f t="shared" si="50"/>
        <v>2310000</v>
      </c>
      <c r="E658" s="20">
        <f t="shared" si="51"/>
        <v>2541000</v>
      </c>
      <c r="F658" s="20">
        <f t="shared" si="52"/>
        <v>2796000</v>
      </c>
      <c r="G658" s="20">
        <f t="shared" si="53"/>
        <v>3075000</v>
      </c>
      <c r="H658" s="20">
        <f t="shared" si="54"/>
        <v>3383000</v>
      </c>
    </row>
    <row r="659" spans="1:8">
      <c r="A659" s="274">
        <v>655</v>
      </c>
      <c r="B659" s="222" t="s">
        <v>2215</v>
      </c>
      <c r="C659" s="275">
        <v>550000</v>
      </c>
      <c r="D659" s="20">
        <f t="shared" si="50"/>
        <v>550000</v>
      </c>
      <c r="E659" s="20">
        <f t="shared" si="51"/>
        <v>605000</v>
      </c>
      <c r="F659" s="20">
        <f t="shared" si="52"/>
        <v>666000</v>
      </c>
      <c r="G659" s="20">
        <f t="shared" si="53"/>
        <v>733000</v>
      </c>
      <c r="H659" s="20">
        <f t="shared" si="54"/>
        <v>806000</v>
      </c>
    </row>
    <row r="660" spans="1:8">
      <c r="A660" s="274">
        <v>656</v>
      </c>
      <c r="B660" s="222" t="s">
        <v>2216</v>
      </c>
      <c r="C660" s="275">
        <v>2090000.0000000002</v>
      </c>
      <c r="D660" s="20">
        <f t="shared" si="50"/>
        <v>2090000</v>
      </c>
      <c r="E660" s="20">
        <f t="shared" si="51"/>
        <v>2299000</v>
      </c>
      <c r="F660" s="20">
        <f t="shared" si="52"/>
        <v>2529000</v>
      </c>
      <c r="G660" s="20">
        <f t="shared" si="53"/>
        <v>2782000</v>
      </c>
      <c r="H660" s="20">
        <f t="shared" si="54"/>
        <v>3060000</v>
      </c>
    </row>
    <row r="661" spans="1:8">
      <c r="A661" s="274">
        <v>657</v>
      </c>
      <c r="B661" s="222" t="s">
        <v>2217</v>
      </c>
      <c r="C661" s="275">
        <v>1650000.0000000002</v>
      </c>
      <c r="D661" s="20">
        <f t="shared" si="50"/>
        <v>1650000</v>
      </c>
      <c r="E661" s="20">
        <f t="shared" si="51"/>
        <v>1815000</v>
      </c>
      <c r="F661" s="20">
        <f t="shared" si="52"/>
        <v>1997000</v>
      </c>
      <c r="G661" s="20">
        <f t="shared" si="53"/>
        <v>2197000</v>
      </c>
      <c r="H661" s="20">
        <f t="shared" si="54"/>
        <v>2416000</v>
      </c>
    </row>
    <row r="662" spans="1:8">
      <c r="A662" s="274">
        <v>658</v>
      </c>
      <c r="B662" s="222" t="s">
        <v>2218</v>
      </c>
      <c r="C662" s="275">
        <v>770000.00000000012</v>
      </c>
      <c r="D662" s="20">
        <f t="shared" si="50"/>
        <v>770000</v>
      </c>
      <c r="E662" s="20">
        <f t="shared" si="51"/>
        <v>847000</v>
      </c>
      <c r="F662" s="20">
        <f t="shared" si="52"/>
        <v>932000</v>
      </c>
      <c r="G662" s="20">
        <f t="shared" si="53"/>
        <v>1025000</v>
      </c>
      <c r="H662" s="20">
        <f t="shared" si="54"/>
        <v>1128000</v>
      </c>
    </row>
    <row r="663" spans="1:8">
      <c r="A663" s="274">
        <v>659</v>
      </c>
      <c r="B663" s="222" t="s">
        <v>2219</v>
      </c>
      <c r="C663" s="275">
        <v>2145000</v>
      </c>
      <c r="D663" s="20">
        <f t="shared" si="50"/>
        <v>2145000</v>
      </c>
      <c r="E663" s="20">
        <f t="shared" si="51"/>
        <v>2360000</v>
      </c>
      <c r="F663" s="20">
        <f t="shared" si="52"/>
        <v>2596000</v>
      </c>
      <c r="G663" s="20">
        <f t="shared" si="53"/>
        <v>2855000</v>
      </c>
      <c r="H663" s="20">
        <f t="shared" si="54"/>
        <v>3141000</v>
      </c>
    </row>
    <row r="664" spans="1:8">
      <c r="A664" s="274">
        <v>660</v>
      </c>
      <c r="B664" s="222" t="s">
        <v>2220</v>
      </c>
      <c r="C664" s="275">
        <v>8800000</v>
      </c>
      <c r="D664" s="20">
        <f t="shared" si="50"/>
        <v>8800000</v>
      </c>
      <c r="E664" s="20">
        <f t="shared" si="51"/>
        <v>9680000</v>
      </c>
      <c r="F664" s="20">
        <f t="shared" si="52"/>
        <v>10648000</v>
      </c>
      <c r="G664" s="20">
        <f t="shared" si="53"/>
        <v>11713000</v>
      </c>
      <c r="H664" s="20">
        <f t="shared" si="54"/>
        <v>12885000</v>
      </c>
    </row>
    <row r="665" spans="1:8">
      <c r="A665" s="274">
        <v>661</v>
      </c>
      <c r="B665" s="222" t="s">
        <v>2221</v>
      </c>
      <c r="C665" s="275">
        <v>1100000</v>
      </c>
      <c r="D665" s="20">
        <f t="shared" si="50"/>
        <v>1100000</v>
      </c>
      <c r="E665" s="20">
        <f t="shared" si="51"/>
        <v>1210000</v>
      </c>
      <c r="F665" s="20">
        <f t="shared" si="52"/>
        <v>1331000</v>
      </c>
      <c r="G665" s="20">
        <f t="shared" si="53"/>
        <v>1465000</v>
      </c>
      <c r="H665" s="20">
        <f t="shared" si="54"/>
        <v>1611000</v>
      </c>
    </row>
    <row r="666" spans="1:8">
      <c r="A666" s="274">
        <v>662</v>
      </c>
      <c r="B666" s="222" t="s">
        <v>2222</v>
      </c>
      <c r="C666" s="275">
        <v>385000.00000000006</v>
      </c>
      <c r="D666" s="20">
        <f t="shared" si="50"/>
        <v>385000</v>
      </c>
      <c r="E666" s="20">
        <f t="shared" si="51"/>
        <v>424000</v>
      </c>
      <c r="F666" s="20">
        <f t="shared" si="52"/>
        <v>466000</v>
      </c>
      <c r="G666" s="20">
        <f t="shared" si="53"/>
        <v>513000</v>
      </c>
      <c r="H666" s="20">
        <f t="shared" si="54"/>
        <v>564000</v>
      </c>
    </row>
    <row r="667" spans="1:8">
      <c r="A667" s="274">
        <v>663</v>
      </c>
      <c r="B667" s="222" t="s">
        <v>2223</v>
      </c>
      <c r="C667" s="275">
        <v>2200000</v>
      </c>
      <c r="D667" s="20">
        <f t="shared" si="50"/>
        <v>2200000</v>
      </c>
      <c r="E667" s="20">
        <f t="shared" si="51"/>
        <v>2420000</v>
      </c>
      <c r="F667" s="20">
        <f t="shared" si="52"/>
        <v>2662000</v>
      </c>
      <c r="G667" s="20">
        <f t="shared" si="53"/>
        <v>2929000</v>
      </c>
      <c r="H667" s="20">
        <f t="shared" si="54"/>
        <v>3222000</v>
      </c>
    </row>
    <row r="668" spans="1:8">
      <c r="A668" s="274">
        <v>664</v>
      </c>
      <c r="B668" s="222" t="s">
        <v>2224</v>
      </c>
      <c r="C668" s="275">
        <v>385000.00000000006</v>
      </c>
      <c r="D668" s="20">
        <f t="shared" si="50"/>
        <v>385000</v>
      </c>
      <c r="E668" s="20">
        <f t="shared" si="51"/>
        <v>424000</v>
      </c>
      <c r="F668" s="20">
        <f t="shared" si="52"/>
        <v>466000</v>
      </c>
      <c r="G668" s="20">
        <f t="shared" si="53"/>
        <v>513000</v>
      </c>
      <c r="H668" s="20">
        <f t="shared" si="54"/>
        <v>564000</v>
      </c>
    </row>
    <row r="669" spans="1:8">
      <c r="A669" s="274">
        <v>665</v>
      </c>
      <c r="B669" s="222" t="s">
        <v>2225</v>
      </c>
      <c r="C669" s="275">
        <v>550000</v>
      </c>
      <c r="D669" s="20">
        <f t="shared" si="50"/>
        <v>550000</v>
      </c>
      <c r="E669" s="20">
        <f t="shared" si="51"/>
        <v>605000</v>
      </c>
      <c r="F669" s="20">
        <f t="shared" si="52"/>
        <v>666000</v>
      </c>
      <c r="G669" s="20">
        <f t="shared" si="53"/>
        <v>733000</v>
      </c>
      <c r="H669" s="20">
        <f t="shared" si="54"/>
        <v>806000</v>
      </c>
    </row>
    <row r="670" spans="1:8">
      <c r="A670" s="274">
        <v>666</v>
      </c>
      <c r="B670" s="222" t="s">
        <v>2226</v>
      </c>
      <c r="C670" s="275">
        <v>770000.00000000012</v>
      </c>
      <c r="D670" s="20">
        <f t="shared" si="50"/>
        <v>770000</v>
      </c>
      <c r="E670" s="20">
        <f t="shared" si="51"/>
        <v>847000</v>
      </c>
      <c r="F670" s="20">
        <f t="shared" si="52"/>
        <v>932000</v>
      </c>
      <c r="G670" s="20">
        <f t="shared" si="53"/>
        <v>1025000</v>
      </c>
      <c r="H670" s="20">
        <f t="shared" si="54"/>
        <v>1128000</v>
      </c>
    </row>
    <row r="671" spans="1:8">
      <c r="A671" s="274">
        <v>667</v>
      </c>
      <c r="B671" s="222" t="s">
        <v>2227</v>
      </c>
      <c r="C671" s="275">
        <v>990000.00000000012</v>
      </c>
      <c r="D671" s="20">
        <f t="shared" si="50"/>
        <v>990000</v>
      </c>
      <c r="E671" s="20">
        <f t="shared" si="51"/>
        <v>1089000</v>
      </c>
      <c r="F671" s="20">
        <f t="shared" si="52"/>
        <v>1198000</v>
      </c>
      <c r="G671" s="20">
        <f t="shared" si="53"/>
        <v>1318000</v>
      </c>
      <c r="H671" s="20">
        <f t="shared" si="54"/>
        <v>1450000</v>
      </c>
    </row>
    <row r="672" spans="1:8">
      <c r="A672" s="274">
        <v>668</v>
      </c>
      <c r="B672" s="222" t="s">
        <v>2228</v>
      </c>
      <c r="C672" s="275">
        <v>385000.00000000006</v>
      </c>
      <c r="D672" s="20">
        <f t="shared" si="50"/>
        <v>385000</v>
      </c>
      <c r="E672" s="20">
        <f t="shared" si="51"/>
        <v>424000</v>
      </c>
      <c r="F672" s="20">
        <f t="shared" si="52"/>
        <v>466000</v>
      </c>
      <c r="G672" s="20">
        <f t="shared" si="53"/>
        <v>513000</v>
      </c>
      <c r="H672" s="20">
        <f t="shared" si="54"/>
        <v>564000</v>
      </c>
    </row>
    <row r="673" spans="1:8">
      <c r="A673" s="274">
        <v>669</v>
      </c>
      <c r="B673" s="222" t="s">
        <v>2229</v>
      </c>
      <c r="C673" s="275">
        <v>605000</v>
      </c>
      <c r="D673" s="20">
        <f t="shared" si="50"/>
        <v>605000</v>
      </c>
      <c r="E673" s="20">
        <f t="shared" si="51"/>
        <v>666000</v>
      </c>
      <c r="F673" s="20">
        <f t="shared" si="52"/>
        <v>733000</v>
      </c>
      <c r="G673" s="20">
        <f t="shared" si="53"/>
        <v>806000</v>
      </c>
      <c r="H673" s="20">
        <f t="shared" si="54"/>
        <v>886000</v>
      </c>
    </row>
    <row r="674" spans="1:8">
      <c r="A674" s="274">
        <v>670</v>
      </c>
      <c r="B674" s="222" t="s">
        <v>2230</v>
      </c>
      <c r="C674" s="275">
        <v>495000.00000000006</v>
      </c>
      <c r="D674" s="20">
        <f t="shared" si="50"/>
        <v>495000</v>
      </c>
      <c r="E674" s="20">
        <f t="shared" si="51"/>
        <v>545000</v>
      </c>
      <c r="F674" s="20">
        <f t="shared" si="52"/>
        <v>599000</v>
      </c>
      <c r="G674" s="20">
        <f t="shared" si="53"/>
        <v>659000</v>
      </c>
      <c r="H674" s="20">
        <f t="shared" si="54"/>
        <v>725000</v>
      </c>
    </row>
    <row r="675" spans="1:8">
      <c r="A675" s="274">
        <v>671</v>
      </c>
      <c r="B675" s="222" t="s">
        <v>2231</v>
      </c>
      <c r="C675" s="275">
        <v>3245000.0000000005</v>
      </c>
      <c r="D675" s="20">
        <f t="shared" si="50"/>
        <v>3245000</v>
      </c>
      <c r="E675" s="20">
        <f t="shared" si="51"/>
        <v>3570000</v>
      </c>
      <c r="F675" s="20">
        <f t="shared" si="52"/>
        <v>3927000</v>
      </c>
      <c r="G675" s="20">
        <f t="shared" si="53"/>
        <v>4320000</v>
      </c>
      <c r="H675" s="20">
        <f t="shared" si="54"/>
        <v>4752000</v>
      </c>
    </row>
    <row r="676" spans="1:8">
      <c r="A676" s="274">
        <v>672</v>
      </c>
      <c r="B676" s="222" t="s">
        <v>2232</v>
      </c>
      <c r="C676" s="275">
        <v>165000</v>
      </c>
      <c r="D676" s="20">
        <f t="shared" si="50"/>
        <v>165000</v>
      </c>
      <c r="E676" s="20">
        <f t="shared" si="51"/>
        <v>182000</v>
      </c>
      <c r="F676" s="20">
        <f t="shared" si="52"/>
        <v>200000</v>
      </c>
      <c r="G676" s="20">
        <f t="shared" si="53"/>
        <v>220000</v>
      </c>
      <c r="H676" s="20">
        <f t="shared" si="54"/>
        <v>242000</v>
      </c>
    </row>
    <row r="677" spans="1:8">
      <c r="A677" s="274">
        <v>673</v>
      </c>
      <c r="B677" s="222" t="s">
        <v>2233</v>
      </c>
      <c r="C677" s="275">
        <v>990000.00000000012</v>
      </c>
      <c r="D677" s="20">
        <f t="shared" si="50"/>
        <v>990000</v>
      </c>
      <c r="E677" s="20">
        <f t="shared" si="51"/>
        <v>1089000</v>
      </c>
      <c r="F677" s="20">
        <f t="shared" si="52"/>
        <v>1198000</v>
      </c>
      <c r="G677" s="20">
        <f t="shared" si="53"/>
        <v>1318000</v>
      </c>
      <c r="H677" s="20">
        <f t="shared" si="54"/>
        <v>1450000</v>
      </c>
    </row>
    <row r="678" spans="1:8">
      <c r="A678" s="274">
        <v>674</v>
      </c>
      <c r="B678" s="222" t="s">
        <v>2234</v>
      </c>
      <c r="C678" s="275">
        <v>440000.00000000006</v>
      </c>
      <c r="D678" s="20">
        <f t="shared" si="50"/>
        <v>440000</v>
      </c>
      <c r="E678" s="20">
        <f t="shared" si="51"/>
        <v>484000</v>
      </c>
      <c r="F678" s="20">
        <f t="shared" si="52"/>
        <v>533000</v>
      </c>
      <c r="G678" s="20">
        <f t="shared" si="53"/>
        <v>586000</v>
      </c>
      <c r="H678" s="20">
        <f t="shared" si="54"/>
        <v>645000</v>
      </c>
    </row>
    <row r="679" spans="1:8">
      <c r="A679" s="274">
        <v>675</v>
      </c>
      <c r="B679" s="222" t="s">
        <v>2235</v>
      </c>
      <c r="C679" s="275">
        <v>385000.00000000006</v>
      </c>
      <c r="D679" s="20">
        <f t="shared" si="50"/>
        <v>385000</v>
      </c>
      <c r="E679" s="20">
        <f t="shared" si="51"/>
        <v>424000</v>
      </c>
      <c r="F679" s="20">
        <f t="shared" si="52"/>
        <v>466000</v>
      </c>
      <c r="G679" s="20">
        <f t="shared" si="53"/>
        <v>513000</v>
      </c>
      <c r="H679" s="20">
        <f t="shared" si="54"/>
        <v>564000</v>
      </c>
    </row>
    <row r="680" spans="1:8">
      <c r="A680" s="274">
        <v>676</v>
      </c>
      <c r="B680" s="222" t="s">
        <v>2236</v>
      </c>
      <c r="C680" s="275">
        <v>4070000.0000000005</v>
      </c>
      <c r="D680" s="20">
        <f t="shared" si="50"/>
        <v>4070000</v>
      </c>
      <c r="E680" s="20">
        <f t="shared" si="51"/>
        <v>4477000</v>
      </c>
      <c r="F680" s="20">
        <f t="shared" si="52"/>
        <v>4925000</v>
      </c>
      <c r="G680" s="20">
        <f t="shared" si="53"/>
        <v>5418000</v>
      </c>
      <c r="H680" s="20">
        <f t="shared" si="54"/>
        <v>5959000</v>
      </c>
    </row>
    <row r="681" spans="1:8">
      <c r="A681" s="274">
        <v>677</v>
      </c>
      <c r="B681" s="222" t="s">
        <v>2237</v>
      </c>
      <c r="C681" s="275">
        <v>2750000</v>
      </c>
      <c r="D681" s="20">
        <f t="shared" si="50"/>
        <v>2750000</v>
      </c>
      <c r="E681" s="20">
        <f t="shared" si="51"/>
        <v>3025000</v>
      </c>
      <c r="F681" s="20">
        <f t="shared" si="52"/>
        <v>3328000</v>
      </c>
      <c r="G681" s="20">
        <f t="shared" si="53"/>
        <v>3661000</v>
      </c>
      <c r="H681" s="20">
        <f t="shared" si="54"/>
        <v>4027000</v>
      </c>
    </row>
    <row r="682" spans="1:8">
      <c r="A682" s="274">
        <v>678</v>
      </c>
      <c r="B682" s="222" t="s">
        <v>2238</v>
      </c>
      <c r="C682" s="275">
        <v>4400000</v>
      </c>
      <c r="D682" s="20">
        <f t="shared" si="50"/>
        <v>4400000</v>
      </c>
      <c r="E682" s="20">
        <f t="shared" si="51"/>
        <v>4840000</v>
      </c>
      <c r="F682" s="20">
        <f t="shared" si="52"/>
        <v>5324000</v>
      </c>
      <c r="G682" s="20">
        <f t="shared" si="53"/>
        <v>5857000</v>
      </c>
      <c r="H682" s="20">
        <f t="shared" si="54"/>
        <v>6443000</v>
      </c>
    </row>
    <row r="683" spans="1:8">
      <c r="A683" s="274">
        <v>679</v>
      </c>
      <c r="B683" s="222" t="s">
        <v>2239</v>
      </c>
      <c r="C683" s="275">
        <v>508200.00000000006</v>
      </c>
      <c r="D683" s="20">
        <f t="shared" si="50"/>
        <v>509000</v>
      </c>
      <c r="E683" s="20">
        <f t="shared" si="51"/>
        <v>560000</v>
      </c>
      <c r="F683" s="20">
        <f t="shared" si="52"/>
        <v>615000</v>
      </c>
      <c r="G683" s="20">
        <f t="shared" si="53"/>
        <v>677000</v>
      </c>
      <c r="H683" s="20">
        <f t="shared" si="54"/>
        <v>745000</v>
      </c>
    </row>
    <row r="684" spans="1:8">
      <c r="A684" s="274">
        <v>680</v>
      </c>
      <c r="B684" s="222" t="s">
        <v>2240</v>
      </c>
      <c r="C684" s="275">
        <v>1320000</v>
      </c>
      <c r="D684" s="20">
        <f t="shared" si="50"/>
        <v>1320000</v>
      </c>
      <c r="E684" s="20">
        <f t="shared" si="51"/>
        <v>1452000</v>
      </c>
      <c r="F684" s="20">
        <f t="shared" si="52"/>
        <v>1598000</v>
      </c>
      <c r="G684" s="20">
        <f t="shared" si="53"/>
        <v>1757000</v>
      </c>
      <c r="H684" s="20">
        <f t="shared" si="54"/>
        <v>1933000</v>
      </c>
    </row>
    <row r="685" spans="1:8">
      <c r="A685" s="274">
        <v>681</v>
      </c>
      <c r="B685" s="222" t="s">
        <v>2241</v>
      </c>
      <c r="C685" s="275">
        <v>256300.00000000003</v>
      </c>
      <c r="D685" s="20">
        <f t="shared" si="50"/>
        <v>257000</v>
      </c>
      <c r="E685" s="20">
        <f t="shared" si="51"/>
        <v>282000</v>
      </c>
      <c r="F685" s="20">
        <f t="shared" si="52"/>
        <v>311000</v>
      </c>
      <c r="G685" s="20">
        <f t="shared" si="53"/>
        <v>342000</v>
      </c>
      <c r="H685" s="20">
        <f t="shared" si="54"/>
        <v>376000</v>
      </c>
    </row>
    <row r="686" spans="1:8">
      <c r="A686" s="274">
        <v>682</v>
      </c>
      <c r="B686" s="222" t="s">
        <v>2242</v>
      </c>
      <c r="C686" s="275">
        <v>3850000.0000000005</v>
      </c>
      <c r="D686" s="20">
        <f t="shared" si="50"/>
        <v>3850000</v>
      </c>
      <c r="E686" s="20">
        <f t="shared" si="51"/>
        <v>4235000</v>
      </c>
      <c r="F686" s="20">
        <f t="shared" si="52"/>
        <v>4659000</v>
      </c>
      <c r="G686" s="20">
        <f t="shared" si="53"/>
        <v>5125000</v>
      </c>
      <c r="H686" s="20">
        <f t="shared" si="54"/>
        <v>5637000</v>
      </c>
    </row>
    <row r="687" spans="1:8">
      <c r="A687" s="274">
        <v>683</v>
      </c>
      <c r="B687" s="222" t="s">
        <v>2243</v>
      </c>
      <c r="C687" s="275">
        <v>645480</v>
      </c>
      <c r="D687" s="20">
        <f t="shared" si="50"/>
        <v>646000</v>
      </c>
      <c r="E687" s="20">
        <f t="shared" si="51"/>
        <v>711000</v>
      </c>
      <c r="F687" s="20">
        <f t="shared" si="52"/>
        <v>782000</v>
      </c>
      <c r="G687" s="20">
        <f t="shared" si="53"/>
        <v>860000</v>
      </c>
      <c r="H687" s="20">
        <f t="shared" si="54"/>
        <v>946000</v>
      </c>
    </row>
    <row r="688" spans="1:8">
      <c r="A688" s="274">
        <v>684</v>
      </c>
      <c r="B688" s="222" t="s">
        <v>2244</v>
      </c>
      <c r="C688" s="275">
        <v>1375000</v>
      </c>
      <c r="D688" s="20">
        <f t="shared" si="50"/>
        <v>1375000</v>
      </c>
      <c r="E688" s="20">
        <f t="shared" si="51"/>
        <v>1513000</v>
      </c>
      <c r="F688" s="20">
        <f t="shared" si="52"/>
        <v>1664000</v>
      </c>
      <c r="G688" s="20">
        <f t="shared" si="53"/>
        <v>1831000</v>
      </c>
      <c r="H688" s="20">
        <f t="shared" si="54"/>
        <v>2014000</v>
      </c>
    </row>
    <row r="689" spans="1:8">
      <c r="A689" s="274">
        <v>685</v>
      </c>
      <c r="B689" s="222" t="s">
        <v>2245</v>
      </c>
      <c r="C689" s="275">
        <v>165000</v>
      </c>
      <c r="D689" s="20">
        <f t="shared" si="50"/>
        <v>165000</v>
      </c>
      <c r="E689" s="20">
        <f t="shared" si="51"/>
        <v>182000</v>
      </c>
      <c r="F689" s="20">
        <f t="shared" si="52"/>
        <v>200000</v>
      </c>
      <c r="G689" s="20">
        <f t="shared" si="53"/>
        <v>220000</v>
      </c>
      <c r="H689" s="20">
        <f t="shared" si="54"/>
        <v>242000</v>
      </c>
    </row>
    <row r="690" spans="1:8">
      <c r="A690" s="274">
        <v>686</v>
      </c>
      <c r="B690" s="222" t="s">
        <v>2246</v>
      </c>
      <c r="C690" s="275">
        <v>99000.000000000015</v>
      </c>
      <c r="D690" s="20">
        <f t="shared" si="50"/>
        <v>99000</v>
      </c>
      <c r="E690" s="20">
        <f t="shared" si="51"/>
        <v>109000</v>
      </c>
      <c r="F690" s="20">
        <f t="shared" si="52"/>
        <v>120000</v>
      </c>
      <c r="G690" s="20">
        <f t="shared" si="53"/>
        <v>132000</v>
      </c>
      <c r="H690" s="20">
        <f t="shared" si="54"/>
        <v>145000</v>
      </c>
    </row>
    <row r="691" spans="1:8">
      <c r="A691" s="274">
        <v>687</v>
      </c>
      <c r="B691" s="222" t="s">
        <v>2247</v>
      </c>
      <c r="C691" s="275">
        <v>495000.00000000006</v>
      </c>
      <c r="D691" s="20">
        <f t="shared" si="50"/>
        <v>495000</v>
      </c>
      <c r="E691" s="20">
        <f t="shared" si="51"/>
        <v>545000</v>
      </c>
      <c r="F691" s="20">
        <f t="shared" si="52"/>
        <v>599000</v>
      </c>
      <c r="G691" s="20">
        <f t="shared" si="53"/>
        <v>659000</v>
      </c>
      <c r="H691" s="20">
        <f t="shared" si="54"/>
        <v>725000</v>
      </c>
    </row>
    <row r="692" spans="1:8">
      <c r="A692" s="274">
        <v>688</v>
      </c>
      <c r="B692" s="222" t="s">
        <v>2248</v>
      </c>
      <c r="C692" s="275">
        <v>907500.00000000012</v>
      </c>
      <c r="D692" s="20">
        <f t="shared" si="50"/>
        <v>908000</v>
      </c>
      <c r="E692" s="20">
        <f t="shared" si="51"/>
        <v>999000</v>
      </c>
      <c r="F692" s="20">
        <f t="shared" si="52"/>
        <v>1099000</v>
      </c>
      <c r="G692" s="20">
        <f t="shared" si="53"/>
        <v>1208000</v>
      </c>
      <c r="H692" s="20">
        <f t="shared" si="54"/>
        <v>1329000</v>
      </c>
    </row>
    <row r="693" spans="1:8">
      <c r="A693" s="274">
        <v>689</v>
      </c>
      <c r="B693" s="222" t="s">
        <v>2249</v>
      </c>
      <c r="C693" s="275">
        <v>215160.00000000003</v>
      </c>
      <c r="D693" s="20">
        <f t="shared" si="50"/>
        <v>216000</v>
      </c>
      <c r="E693" s="20">
        <f t="shared" si="51"/>
        <v>237000</v>
      </c>
      <c r="F693" s="20">
        <f t="shared" si="52"/>
        <v>261000</v>
      </c>
      <c r="G693" s="20">
        <f t="shared" si="53"/>
        <v>287000</v>
      </c>
      <c r="H693" s="20">
        <f t="shared" si="54"/>
        <v>316000</v>
      </c>
    </row>
    <row r="694" spans="1:8">
      <c r="A694" s="274">
        <v>690</v>
      </c>
      <c r="B694" s="222" t="s">
        <v>2250</v>
      </c>
      <c r="C694" s="275">
        <v>4400000</v>
      </c>
      <c r="D694" s="20">
        <f t="shared" si="50"/>
        <v>4400000</v>
      </c>
      <c r="E694" s="20">
        <f t="shared" si="51"/>
        <v>4840000</v>
      </c>
      <c r="F694" s="20">
        <f t="shared" si="52"/>
        <v>5324000</v>
      </c>
      <c r="G694" s="20">
        <f t="shared" si="53"/>
        <v>5857000</v>
      </c>
      <c r="H694" s="20">
        <f t="shared" si="54"/>
        <v>6443000</v>
      </c>
    </row>
    <row r="695" spans="1:8">
      <c r="A695" s="274">
        <v>691</v>
      </c>
      <c r="B695" s="222" t="s">
        <v>2251</v>
      </c>
      <c r="C695" s="275">
        <v>323400</v>
      </c>
      <c r="D695" s="20">
        <f t="shared" si="50"/>
        <v>324000</v>
      </c>
      <c r="E695" s="20">
        <f t="shared" si="51"/>
        <v>356000</v>
      </c>
      <c r="F695" s="20">
        <f t="shared" si="52"/>
        <v>392000</v>
      </c>
      <c r="G695" s="20">
        <f t="shared" si="53"/>
        <v>431000</v>
      </c>
      <c r="H695" s="20">
        <f t="shared" si="54"/>
        <v>474000</v>
      </c>
    </row>
    <row r="696" spans="1:8">
      <c r="A696" s="274">
        <v>692</v>
      </c>
      <c r="B696" s="222" t="s">
        <v>2252</v>
      </c>
      <c r="C696" s="275">
        <v>215600.00000000003</v>
      </c>
      <c r="D696" s="20">
        <f t="shared" si="50"/>
        <v>216000</v>
      </c>
      <c r="E696" s="20">
        <f t="shared" si="51"/>
        <v>238000</v>
      </c>
      <c r="F696" s="20">
        <f t="shared" si="52"/>
        <v>261000</v>
      </c>
      <c r="G696" s="20">
        <f t="shared" si="53"/>
        <v>287000</v>
      </c>
      <c r="H696" s="20">
        <f t="shared" si="54"/>
        <v>316000</v>
      </c>
    </row>
    <row r="697" spans="1:8">
      <c r="A697" s="274">
        <v>693</v>
      </c>
      <c r="B697" s="222" t="s">
        <v>2253</v>
      </c>
      <c r="C697" s="275">
        <v>431640.00000000006</v>
      </c>
      <c r="D697" s="20">
        <f t="shared" si="50"/>
        <v>432000</v>
      </c>
      <c r="E697" s="20">
        <f t="shared" si="51"/>
        <v>475000</v>
      </c>
      <c r="F697" s="20">
        <f t="shared" si="52"/>
        <v>523000</v>
      </c>
      <c r="G697" s="20">
        <f t="shared" si="53"/>
        <v>575000</v>
      </c>
      <c r="H697" s="20">
        <f t="shared" si="54"/>
        <v>632000</v>
      </c>
    </row>
    <row r="698" spans="1:8">
      <c r="A698" s="274">
        <v>694</v>
      </c>
      <c r="B698" s="222" t="s">
        <v>2254</v>
      </c>
      <c r="C698" s="275">
        <v>323400</v>
      </c>
      <c r="D698" s="20">
        <f t="shared" si="50"/>
        <v>324000</v>
      </c>
      <c r="E698" s="20">
        <f t="shared" si="51"/>
        <v>356000</v>
      </c>
      <c r="F698" s="20">
        <f t="shared" si="52"/>
        <v>392000</v>
      </c>
      <c r="G698" s="20">
        <f t="shared" si="53"/>
        <v>431000</v>
      </c>
      <c r="H698" s="20">
        <f t="shared" si="54"/>
        <v>474000</v>
      </c>
    </row>
    <row r="699" spans="1:8">
      <c r="A699" s="274">
        <v>695</v>
      </c>
      <c r="B699" s="222" t="s">
        <v>2255</v>
      </c>
      <c r="C699" s="275">
        <v>1615680.0000000002</v>
      </c>
      <c r="D699" s="20">
        <f t="shared" si="50"/>
        <v>1616000</v>
      </c>
      <c r="E699" s="20">
        <f t="shared" si="51"/>
        <v>1778000</v>
      </c>
      <c r="F699" s="20">
        <f t="shared" si="52"/>
        <v>1955000</v>
      </c>
      <c r="G699" s="20">
        <f t="shared" si="53"/>
        <v>2151000</v>
      </c>
      <c r="H699" s="20">
        <f t="shared" si="54"/>
        <v>2366000</v>
      </c>
    </row>
    <row r="700" spans="1:8">
      <c r="A700" s="274">
        <v>696</v>
      </c>
      <c r="B700" s="222" t="s">
        <v>2256</v>
      </c>
      <c r="C700" s="275">
        <v>150480</v>
      </c>
      <c r="D700" s="20">
        <f t="shared" si="50"/>
        <v>151000</v>
      </c>
      <c r="E700" s="20">
        <f t="shared" si="51"/>
        <v>166000</v>
      </c>
      <c r="F700" s="20">
        <f t="shared" si="52"/>
        <v>183000</v>
      </c>
      <c r="G700" s="20">
        <f t="shared" si="53"/>
        <v>201000</v>
      </c>
      <c r="H700" s="20">
        <f t="shared" si="54"/>
        <v>221000</v>
      </c>
    </row>
    <row r="701" spans="1:8">
      <c r="A701" s="274">
        <v>697</v>
      </c>
      <c r="B701" s="222" t="s">
        <v>2257</v>
      </c>
      <c r="C701" s="275">
        <v>215160.00000000003</v>
      </c>
      <c r="D701" s="20">
        <f t="shared" si="50"/>
        <v>216000</v>
      </c>
      <c r="E701" s="20">
        <f t="shared" si="51"/>
        <v>237000</v>
      </c>
      <c r="F701" s="20">
        <f t="shared" si="52"/>
        <v>261000</v>
      </c>
      <c r="G701" s="20">
        <f t="shared" si="53"/>
        <v>287000</v>
      </c>
      <c r="H701" s="20">
        <f t="shared" si="54"/>
        <v>316000</v>
      </c>
    </row>
    <row r="702" spans="1:8">
      <c r="A702" s="274">
        <v>698</v>
      </c>
      <c r="B702" s="222" t="s">
        <v>2258</v>
      </c>
      <c r="C702" s="275">
        <v>137500</v>
      </c>
      <c r="D702" s="20">
        <f t="shared" si="50"/>
        <v>138000</v>
      </c>
      <c r="E702" s="20">
        <f t="shared" si="51"/>
        <v>152000</v>
      </c>
      <c r="F702" s="20">
        <f t="shared" si="52"/>
        <v>167000</v>
      </c>
      <c r="G702" s="20">
        <f t="shared" si="53"/>
        <v>184000</v>
      </c>
      <c r="H702" s="20">
        <f t="shared" si="54"/>
        <v>202000</v>
      </c>
    </row>
    <row r="703" spans="1:8">
      <c r="A703" s="274">
        <v>699</v>
      </c>
      <c r="B703" s="222" t="s">
        <v>2259</v>
      </c>
      <c r="C703" s="275">
        <v>431640.00000000006</v>
      </c>
      <c r="D703" s="20">
        <f t="shared" si="50"/>
        <v>432000</v>
      </c>
      <c r="E703" s="20">
        <f t="shared" si="51"/>
        <v>475000</v>
      </c>
      <c r="F703" s="20">
        <f t="shared" si="52"/>
        <v>523000</v>
      </c>
      <c r="G703" s="20">
        <f t="shared" si="53"/>
        <v>575000</v>
      </c>
      <c r="H703" s="20">
        <f t="shared" si="54"/>
        <v>632000</v>
      </c>
    </row>
    <row r="704" spans="1:8">
      <c r="A704" s="274">
        <v>700</v>
      </c>
      <c r="B704" s="222" t="s">
        <v>2260</v>
      </c>
      <c r="C704" s="275">
        <v>323400</v>
      </c>
      <c r="D704" s="20">
        <f t="shared" si="50"/>
        <v>324000</v>
      </c>
      <c r="E704" s="20">
        <f t="shared" si="51"/>
        <v>356000</v>
      </c>
      <c r="F704" s="20">
        <f t="shared" si="52"/>
        <v>392000</v>
      </c>
      <c r="G704" s="20">
        <f t="shared" si="53"/>
        <v>431000</v>
      </c>
      <c r="H704" s="20">
        <f t="shared" si="54"/>
        <v>474000</v>
      </c>
    </row>
    <row r="705" spans="1:8">
      <c r="A705" s="274">
        <v>701</v>
      </c>
      <c r="B705" s="222" t="s">
        <v>2261</v>
      </c>
      <c r="C705" s="275">
        <v>907500.00000000012</v>
      </c>
      <c r="D705" s="20">
        <f t="shared" si="50"/>
        <v>908000</v>
      </c>
      <c r="E705" s="20">
        <f t="shared" si="51"/>
        <v>999000</v>
      </c>
      <c r="F705" s="20">
        <f t="shared" si="52"/>
        <v>1099000</v>
      </c>
      <c r="G705" s="20">
        <f t="shared" si="53"/>
        <v>1208000</v>
      </c>
      <c r="H705" s="20">
        <f t="shared" si="54"/>
        <v>1329000</v>
      </c>
    </row>
    <row r="706" spans="1:8">
      <c r="A706" s="274">
        <v>702</v>
      </c>
      <c r="B706" s="222" t="s">
        <v>2262</v>
      </c>
      <c r="C706" s="275">
        <v>385000.00000000006</v>
      </c>
      <c r="D706" s="20">
        <f t="shared" si="50"/>
        <v>385000</v>
      </c>
      <c r="E706" s="20">
        <f t="shared" si="51"/>
        <v>424000</v>
      </c>
      <c r="F706" s="20">
        <f t="shared" si="52"/>
        <v>466000</v>
      </c>
      <c r="G706" s="20">
        <f t="shared" si="53"/>
        <v>513000</v>
      </c>
      <c r="H706" s="20">
        <f t="shared" si="54"/>
        <v>564000</v>
      </c>
    </row>
    <row r="707" spans="1:8">
      <c r="A707" s="274">
        <v>703</v>
      </c>
      <c r="B707" s="222" t="s">
        <v>2263</v>
      </c>
      <c r="C707" s="275">
        <v>770000.00000000012</v>
      </c>
      <c r="D707" s="20">
        <f t="shared" si="50"/>
        <v>770000</v>
      </c>
      <c r="E707" s="20">
        <f t="shared" si="51"/>
        <v>847000</v>
      </c>
      <c r="F707" s="20">
        <f t="shared" si="52"/>
        <v>932000</v>
      </c>
      <c r="G707" s="20">
        <f t="shared" si="53"/>
        <v>1025000</v>
      </c>
      <c r="H707" s="20">
        <f t="shared" si="54"/>
        <v>1128000</v>
      </c>
    </row>
    <row r="708" spans="1:8">
      <c r="A708" s="274">
        <v>704</v>
      </c>
      <c r="B708" s="222" t="s">
        <v>2264</v>
      </c>
      <c r="C708" s="275">
        <v>330000</v>
      </c>
      <c r="D708" s="20">
        <f t="shared" ref="D708:D748" si="55">ROUNDUP(C708,-3)</f>
        <v>330000</v>
      </c>
      <c r="E708" s="20">
        <f t="shared" ref="E708:E748" si="56">ROUNDUP($C708*1.1,-3)</f>
        <v>363000</v>
      </c>
      <c r="F708" s="20">
        <f t="shared" ref="F708:F748" si="57">ROUNDUP($C708*1.1*1.1,-3)</f>
        <v>400000</v>
      </c>
      <c r="G708" s="20">
        <f t="shared" ref="G708:G748" si="58">ROUNDUP($C708*1.1*1.1*1.1,-3)</f>
        <v>440000</v>
      </c>
      <c r="H708" s="20">
        <f t="shared" ref="H708:H748" si="59">ROUNDUP($C708*1.1*1.1*1.1*1.1,-3)</f>
        <v>484000</v>
      </c>
    </row>
    <row r="709" spans="1:8">
      <c r="A709" s="274">
        <v>705</v>
      </c>
      <c r="B709" s="222" t="s">
        <v>2265</v>
      </c>
      <c r="C709" s="275">
        <v>330000</v>
      </c>
      <c r="D709" s="20">
        <f t="shared" si="55"/>
        <v>330000</v>
      </c>
      <c r="E709" s="20">
        <f t="shared" si="56"/>
        <v>363000</v>
      </c>
      <c r="F709" s="20">
        <f t="shared" si="57"/>
        <v>400000</v>
      </c>
      <c r="G709" s="20">
        <f t="shared" si="58"/>
        <v>440000</v>
      </c>
      <c r="H709" s="20">
        <f t="shared" si="59"/>
        <v>484000</v>
      </c>
    </row>
    <row r="710" spans="1:8">
      <c r="A710" s="274">
        <v>706</v>
      </c>
      <c r="B710" s="222" t="s">
        <v>2266</v>
      </c>
      <c r="C710" s="275">
        <v>330000</v>
      </c>
      <c r="D710" s="20">
        <f t="shared" si="55"/>
        <v>330000</v>
      </c>
      <c r="E710" s="20">
        <f t="shared" si="56"/>
        <v>363000</v>
      </c>
      <c r="F710" s="20">
        <f t="shared" si="57"/>
        <v>400000</v>
      </c>
      <c r="G710" s="20">
        <f t="shared" si="58"/>
        <v>440000</v>
      </c>
      <c r="H710" s="20">
        <f t="shared" si="59"/>
        <v>484000</v>
      </c>
    </row>
    <row r="711" spans="1:8">
      <c r="A711" s="274">
        <v>707</v>
      </c>
      <c r="B711" s="222" t="s">
        <v>2267</v>
      </c>
      <c r="C711" s="275">
        <v>660000</v>
      </c>
      <c r="D711" s="20">
        <f t="shared" si="55"/>
        <v>660000</v>
      </c>
      <c r="E711" s="20">
        <f t="shared" si="56"/>
        <v>726000</v>
      </c>
      <c r="F711" s="20">
        <f t="shared" si="57"/>
        <v>799000</v>
      </c>
      <c r="G711" s="20">
        <f t="shared" si="58"/>
        <v>879000</v>
      </c>
      <c r="H711" s="20">
        <f t="shared" si="59"/>
        <v>967000</v>
      </c>
    </row>
    <row r="712" spans="1:8">
      <c r="A712" s="274">
        <v>708</v>
      </c>
      <c r="B712" s="222" t="s">
        <v>2268</v>
      </c>
      <c r="C712" s="275">
        <v>660000</v>
      </c>
      <c r="D712" s="20">
        <f t="shared" si="55"/>
        <v>660000</v>
      </c>
      <c r="E712" s="20">
        <f t="shared" si="56"/>
        <v>726000</v>
      </c>
      <c r="F712" s="20">
        <f t="shared" si="57"/>
        <v>799000</v>
      </c>
      <c r="G712" s="20">
        <f t="shared" si="58"/>
        <v>879000</v>
      </c>
      <c r="H712" s="20">
        <f t="shared" si="59"/>
        <v>967000</v>
      </c>
    </row>
    <row r="713" spans="1:8">
      <c r="A713" s="274">
        <v>709</v>
      </c>
      <c r="B713" s="222" t="s">
        <v>2269</v>
      </c>
      <c r="C713" s="275">
        <v>770000.00000000012</v>
      </c>
      <c r="D713" s="20">
        <f t="shared" si="55"/>
        <v>770000</v>
      </c>
      <c r="E713" s="20">
        <f t="shared" si="56"/>
        <v>847000</v>
      </c>
      <c r="F713" s="20">
        <f t="shared" si="57"/>
        <v>932000</v>
      </c>
      <c r="G713" s="20">
        <f t="shared" si="58"/>
        <v>1025000</v>
      </c>
      <c r="H713" s="20">
        <f t="shared" si="59"/>
        <v>1128000</v>
      </c>
    </row>
    <row r="714" spans="1:8">
      <c r="A714" s="274">
        <v>710</v>
      </c>
      <c r="B714" s="222" t="s">
        <v>2270</v>
      </c>
      <c r="C714" s="275">
        <v>880000.00000000012</v>
      </c>
      <c r="D714" s="20">
        <f t="shared" si="55"/>
        <v>880000</v>
      </c>
      <c r="E714" s="20">
        <f t="shared" si="56"/>
        <v>968000</v>
      </c>
      <c r="F714" s="20">
        <f t="shared" si="57"/>
        <v>1065000</v>
      </c>
      <c r="G714" s="20">
        <f t="shared" si="58"/>
        <v>1172000</v>
      </c>
      <c r="H714" s="20">
        <f t="shared" si="59"/>
        <v>1289000</v>
      </c>
    </row>
    <row r="715" spans="1:8">
      <c r="A715" s="274">
        <v>711</v>
      </c>
      <c r="B715" s="222" t="s">
        <v>2271</v>
      </c>
      <c r="C715" s="275">
        <v>852500.00000000012</v>
      </c>
      <c r="D715" s="20">
        <f t="shared" si="55"/>
        <v>853000</v>
      </c>
      <c r="E715" s="20">
        <f t="shared" si="56"/>
        <v>938000</v>
      </c>
      <c r="F715" s="20">
        <f t="shared" si="57"/>
        <v>1032000</v>
      </c>
      <c r="G715" s="20">
        <f t="shared" si="58"/>
        <v>1135000</v>
      </c>
      <c r="H715" s="20">
        <f t="shared" si="59"/>
        <v>1249000</v>
      </c>
    </row>
    <row r="716" spans="1:8">
      <c r="A716" s="274">
        <v>712</v>
      </c>
      <c r="B716" s="222" t="s">
        <v>2272</v>
      </c>
      <c r="C716" s="275">
        <v>653400</v>
      </c>
      <c r="D716" s="20">
        <f t="shared" si="55"/>
        <v>654000</v>
      </c>
      <c r="E716" s="20">
        <f t="shared" si="56"/>
        <v>719000</v>
      </c>
      <c r="F716" s="20">
        <f t="shared" si="57"/>
        <v>791000</v>
      </c>
      <c r="G716" s="20">
        <f t="shared" si="58"/>
        <v>870000</v>
      </c>
      <c r="H716" s="20">
        <f t="shared" si="59"/>
        <v>957000</v>
      </c>
    </row>
    <row r="717" spans="1:8">
      <c r="A717" s="274">
        <v>713</v>
      </c>
      <c r="B717" s="222" t="s">
        <v>2273</v>
      </c>
      <c r="C717" s="275">
        <v>323400</v>
      </c>
      <c r="D717" s="20">
        <f t="shared" si="55"/>
        <v>324000</v>
      </c>
      <c r="E717" s="20">
        <f t="shared" si="56"/>
        <v>356000</v>
      </c>
      <c r="F717" s="20">
        <f t="shared" si="57"/>
        <v>392000</v>
      </c>
      <c r="G717" s="20">
        <f t="shared" si="58"/>
        <v>431000</v>
      </c>
      <c r="H717" s="20">
        <f t="shared" si="59"/>
        <v>474000</v>
      </c>
    </row>
    <row r="718" spans="1:8">
      <c r="A718" s="274">
        <v>714</v>
      </c>
      <c r="B718" s="222" t="s">
        <v>2274</v>
      </c>
      <c r="C718" s="275">
        <v>431200.00000000006</v>
      </c>
      <c r="D718" s="20">
        <f t="shared" si="55"/>
        <v>432000</v>
      </c>
      <c r="E718" s="20">
        <f t="shared" si="56"/>
        <v>475000</v>
      </c>
      <c r="F718" s="20">
        <f t="shared" si="57"/>
        <v>522000</v>
      </c>
      <c r="G718" s="20">
        <f t="shared" si="58"/>
        <v>574000</v>
      </c>
      <c r="H718" s="20">
        <f t="shared" si="59"/>
        <v>632000</v>
      </c>
    </row>
    <row r="719" spans="1:8">
      <c r="A719" s="274">
        <v>715</v>
      </c>
      <c r="B719" s="222" t="s">
        <v>2275</v>
      </c>
      <c r="C719" s="275">
        <v>552200</v>
      </c>
      <c r="D719" s="20">
        <f t="shared" si="55"/>
        <v>553000</v>
      </c>
      <c r="E719" s="20">
        <f t="shared" si="56"/>
        <v>608000</v>
      </c>
      <c r="F719" s="20">
        <f t="shared" si="57"/>
        <v>669000</v>
      </c>
      <c r="G719" s="20">
        <f t="shared" si="58"/>
        <v>735000</v>
      </c>
      <c r="H719" s="20">
        <f t="shared" si="59"/>
        <v>809000</v>
      </c>
    </row>
    <row r="720" spans="1:8">
      <c r="A720" s="274">
        <v>716</v>
      </c>
      <c r="B720" s="222" t="s">
        <v>2276</v>
      </c>
      <c r="C720" s="275">
        <v>215600.00000000003</v>
      </c>
      <c r="D720" s="20">
        <f t="shared" si="55"/>
        <v>216000</v>
      </c>
      <c r="E720" s="20">
        <f t="shared" si="56"/>
        <v>238000</v>
      </c>
      <c r="F720" s="20">
        <f t="shared" si="57"/>
        <v>261000</v>
      </c>
      <c r="G720" s="20">
        <f t="shared" si="58"/>
        <v>287000</v>
      </c>
      <c r="H720" s="20">
        <f t="shared" si="59"/>
        <v>316000</v>
      </c>
    </row>
    <row r="721" spans="1:8">
      <c r="A721" s="274">
        <v>717</v>
      </c>
      <c r="B721" s="222" t="s">
        <v>2277</v>
      </c>
      <c r="C721" s="275">
        <v>323400</v>
      </c>
      <c r="D721" s="20">
        <f t="shared" si="55"/>
        <v>324000</v>
      </c>
      <c r="E721" s="20">
        <f t="shared" si="56"/>
        <v>356000</v>
      </c>
      <c r="F721" s="20">
        <f t="shared" si="57"/>
        <v>392000</v>
      </c>
      <c r="G721" s="20">
        <f t="shared" si="58"/>
        <v>431000</v>
      </c>
      <c r="H721" s="20">
        <f t="shared" si="59"/>
        <v>474000</v>
      </c>
    </row>
    <row r="722" spans="1:8">
      <c r="A722" s="274">
        <v>718</v>
      </c>
      <c r="B722" s="222" t="s">
        <v>2278</v>
      </c>
      <c r="C722" s="275">
        <v>275000</v>
      </c>
      <c r="D722" s="20">
        <f t="shared" si="55"/>
        <v>275000</v>
      </c>
      <c r="E722" s="20">
        <f t="shared" si="56"/>
        <v>303000</v>
      </c>
      <c r="F722" s="20">
        <f t="shared" si="57"/>
        <v>333000</v>
      </c>
      <c r="G722" s="20">
        <f t="shared" si="58"/>
        <v>367000</v>
      </c>
      <c r="H722" s="20">
        <f t="shared" si="59"/>
        <v>403000</v>
      </c>
    </row>
    <row r="723" spans="1:8">
      <c r="A723" s="274">
        <v>719</v>
      </c>
      <c r="B723" s="222" t="s">
        <v>2279</v>
      </c>
      <c r="C723" s="275">
        <v>245300.00000000003</v>
      </c>
      <c r="D723" s="20">
        <f t="shared" si="55"/>
        <v>246000</v>
      </c>
      <c r="E723" s="20">
        <f t="shared" si="56"/>
        <v>270000</v>
      </c>
      <c r="F723" s="20">
        <f t="shared" si="57"/>
        <v>297000</v>
      </c>
      <c r="G723" s="20">
        <f t="shared" si="58"/>
        <v>327000</v>
      </c>
      <c r="H723" s="20">
        <f t="shared" si="59"/>
        <v>360000</v>
      </c>
    </row>
    <row r="724" spans="1:8">
      <c r="A724" s="274">
        <v>720</v>
      </c>
      <c r="B724" s="222" t="s">
        <v>2280</v>
      </c>
      <c r="C724" s="275">
        <v>217800.00000000003</v>
      </c>
      <c r="D724" s="20">
        <f t="shared" si="55"/>
        <v>218000</v>
      </c>
      <c r="E724" s="20">
        <f t="shared" si="56"/>
        <v>240000</v>
      </c>
      <c r="F724" s="20">
        <f t="shared" si="57"/>
        <v>264000</v>
      </c>
      <c r="G724" s="20">
        <f t="shared" si="58"/>
        <v>290000</v>
      </c>
      <c r="H724" s="20">
        <f t="shared" si="59"/>
        <v>319000</v>
      </c>
    </row>
    <row r="725" spans="1:8">
      <c r="A725" s="274">
        <v>721</v>
      </c>
      <c r="B725" s="222" t="s">
        <v>2281</v>
      </c>
      <c r="C725" s="275">
        <v>385000.00000000006</v>
      </c>
      <c r="D725" s="20">
        <f t="shared" si="55"/>
        <v>385000</v>
      </c>
      <c r="E725" s="20">
        <f t="shared" si="56"/>
        <v>424000</v>
      </c>
      <c r="F725" s="20">
        <f t="shared" si="57"/>
        <v>466000</v>
      </c>
      <c r="G725" s="20">
        <f t="shared" si="58"/>
        <v>513000</v>
      </c>
      <c r="H725" s="20">
        <f t="shared" si="59"/>
        <v>564000</v>
      </c>
    </row>
    <row r="726" spans="1:8">
      <c r="A726" s="274">
        <v>722</v>
      </c>
      <c r="B726" s="222" t="s">
        <v>2282</v>
      </c>
      <c r="C726" s="275">
        <v>330000</v>
      </c>
      <c r="D726" s="20">
        <f t="shared" si="55"/>
        <v>330000</v>
      </c>
      <c r="E726" s="20">
        <f t="shared" si="56"/>
        <v>363000</v>
      </c>
      <c r="F726" s="20">
        <f t="shared" si="57"/>
        <v>400000</v>
      </c>
      <c r="G726" s="20">
        <f t="shared" si="58"/>
        <v>440000</v>
      </c>
      <c r="H726" s="20">
        <f t="shared" si="59"/>
        <v>484000</v>
      </c>
    </row>
    <row r="727" spans="1:8">
      <c r="A727" s="274">
        <v>723</v>
      </c>
      <c r="B727" s="222" t="s">
        <v>2283</v>
      </c>
      <c r="C727" s="275">
        <v>1045000.0000000001</v>
      </c>
      <c r="D727" s="20">
        <f t="shared" si="55"/>
        <v>1045000</v>
      </c>
      <c r="E727" s="20">
        <f t="shared" si="56"/>
        <v>1150000</v>
      </c>
      <c r="F727" s="20">
        <f t="shared" si="57"/>
        <v>1265000</v>
      </c>
      <c r="G727" s="20">
        <f t="shared" si="58"/>
        <v>1391000</v>
      </c>
      <c r="H727" s="20">
        <f t="shared" si="59"/>
        <v>1530000</v>
      </c>
    </row>
    <row r="728" spans="1:8">
      <c r="A728" s="274">
        <v>724</v>
      </c>
      <c r="B728" s="222" t="s">
        <v>2284</v>
      </c>
      <c r="C728" s="275">
        <v>1291675</v>
      </c>
      <c r="D728" s="20">
        <f t="shared" si="55"/>
        <v>1292000</v>
      </c>
      <c r="E728" s="20">
        <f t="shared" si="56"/>
        <v>1421000</v>
      </c>
      <c r="F728" s="20">
        <f t="shared" si="57"/>
        <v>1563000</v>
      </c>
      <c r="G728" s="20">
        <f t="shared" si="58"/>
        <v>1720000</v>
      </c>
      <c r="H728" s="20">
        <f t="shared" si="59"/>
        <v>1892000</v>
      </c>
    </row>
    <row r="729" spans="1:8">
      <c r="A729" s="274">
        <v>725</v>
      </c>
      <c r="B729" s="222" t="s">
        <v>2285</v>
      </c>
      <c r="C729" s="275">
        <v>1936756.8</v>
      </c>
      <c r="D729" s="20">
        <f t="shared" si="55"/>
        <v>1937000</v>
      </c>
      <c r="E729" s="20">
        <f t="shared" si="56"/>
        <v>2131000</v>
      </c>
      <c r="F729" s="20">
        <f t="shared" si="57"/>
        <v>2344000</v>
      </c>
      <c r="G729" s="20">
        <f t="shared" si="58"/>
        <v>2578000</v>
      </c>
      <c r="H729" s="20">
        <f t="shared" si="59"/>
        <v>2836000</v>
      </c>
    </row>
    <row r="730" spans="1:8">
      <c r="A730" s="274">
        <v>726</v>
      </c>
      <c r="B730" s="222" t="s">
        <v>2286</v>
      </c>
      <c r="C730" s="275">
        <v>322919.30000000005</v>
      </c>
      <c r="D730" s="20">
        <f t="shared" si="55"/>
        <v>323000</v>
      </c>
      <c r="E730" s="20">
        <f t="shared" si="56"/>
        <v>356000</v>
      </c>
      <c r="F730" s="20">
        <f t="shared" si="57"/>
        <v>391000</v>
      </c>
      <c r="G730" s="20">
        <f t="shared" si="58"/>
        <v>430000</v>
      </c>
      <c r="H730" s="20">
        <f t="shared" si="59"/>
        <v>473000</v>
      </c>
    </row>
    <row r="731" spans="1:8">
      <c r="A731" s="274">
        <v>727</v>
      </c>
      <c r="B731" s="222" t="s">
        <v>2287</v>
      </c>
      <c r="C731" s="275">
        <v>1936756.8</v>
      </c>
      <c r="D731" s="20">
        <f t="shared" si="55"/>
        <v>1937000</v>
      </c>
      <c r="E731" s="20">
        <f t="shared" si="56"/>
        <v>2131000</v>
      </c>
      <c r="F731" s="20">
        <f t="shared" si="57"/>
        <v>2344000</v>
      </c>
      <c r="G731" s="20">
        <f t="shared" si="58"/>
        <v>2578000</v>
      </c>
      <c r="H731" s="20">
        <f t="shared" si="59"/>
        <v>2836000</v>
      </c>
    </row>
    <row r="732" spans="1:8">
      <c r="A732" s="274">
        <v>728</v>
      </c>
      <c r="B732" s="222" t="s">
        <v>2288</v>
      </c>
      <c r="C732" s="275">
        <v>2421512.5</v>
      </c>
      <c r="D732" s="20">
        <f t="shared" si="55"/>
        <v>2422000</v>
      </c>
      <c r="E732" s="20">
        <f t="shared" si="56"/>
        <v>2664000</v>
      </c>
      <c r="F732" s="20">
        <f t="shared" si="57"/>
        <v>2931000</v>
      </c>
      <c r="G732" s="20">
        <f t="shared" si="58"/>
        <v>3224000</v>
      </c>
      <c r="H732" s="20">
        <f t="shared" si="59"/>
        <v>3546000</v>
      </c>
    </row>
    <row r="733" spans="1:8">
      <c r="A733" s="274">
        <v>729</v>
      </c>
      <c r="B733" s="222" t="s">
        <v>2289</v>
      </c>
      <c r="C733" s="275">
        <v>1936756.8</v>
      </c>
      <c r="D733" s="20">
        <f t="shared" si="55"/>
        <v>1937000</v>
      </c>
      <c r="E733" s="20">
        <f t="shared" si="56"/>
        <v>2131000</v>
      </c>
      <c r="F733" s="20">
        <f t="shared" si="57"/>
        <v>2344000</v>
      </c>
      <c r="G733" s="20">
        <f t="shared" si="58"/>
        <v>2578000</v>
      </c>
      <c r="H733" s="20">
        <f t="shared" si="59"/>
        <v>2836000</v>
      </c>
    </row>
    <row r="734" spans="1:8">
      <c r="A734" s="274">
        <v>730</v>
      </c>
      <c r="B734" s="222" t="s">
        <v>2290</v>
      </c>
      <c r="C734" s="275">
        <v>2098594.3000000003</v>
      </c>
      <c r="D734" s="20">
        <f t="shared" si="55"/>
        <v>2099000</v>
      </c>
      <c r="E734" s="20">
        <f t="shared" si="56"/>
        <v>2309000</v>
      </c>
      <c r="F734" s="20">
        <f t="shared" si="57"/>
        <v>2540000</v>
      </c>
      <c r="G734" s="20">
        <f t="shared" si="58"/>
        <v>2794000</v>
      </c>
      <c r="H734" s="20">
        <f t="shared" si="59"/>
        <v>3073000</v>
      </c>
    </row>
    <row r="735" spans="1:8">
      <c r="A735" s="274">
        <v>731</v>
      </c>
      <c r="B735" s="222" t="s">
        <v>2291</v>
      </c>
      <c r="C735" s="275">
        <v>2421512.5</v>
      </c>
      <c r="D735" s="20">
        <f t="shared" si="55"/>
        <v>2422000</v>
      </c>
      <c r="E735" s="20">
        <f t="shared" si="56"/>
        <v>2664000</v>
      </c>
      <c r="F735" s="20">
        <f t="shared" si="57"/>
        <v>2931000</v>
      </c>
      <c r="G735" s="20">
        <f t="shared" si="58"/>
        <v>3224000</v>
      </c>
      <c r="H735" s="20">
        <f t="shared" si="59"/>
        <v>3546000</v>
      </c>
    </row>
    <row r="736" spans="1:8">
      <c r="A736" s="274">
        <v>732</v>
      </c>
      <c r="B736" s="222" t="s">
        <v>2292</v>
      </c>
      <c r="C736" s="275">
        <v>1936756.8</v>
      </c>
      <c r="D736" s="20">
        <f t="shared" si="55"/>
        <v>1937000</v>
      </c>
      <c r="E736" s="20">
        <f t="shared" si="56"/>
        <v>2131000</v>
      </c>
      <c r="F736" s="20">
        <f t="shared" si="57"/>
        <v>2344000</v>
      </c>
      <c r="G736" s="20">
        <f t="shared" si="58"/>
        <v>2578000</v>
      </c>
      <c r="H736" s="20">
        <f t="shared" si="59"/>
        <v>2836000</v>
      </c>
    </row>
    <row r="737" spans="1:8">
      <c r="A737" s="274">
        <v>733</v>
      </c>
      <c r="B737" s="222" t="s">
        <v>2293</v>
      </c>
      <c r="C737" s="275">
        <v>726000.00000000012</v>
      </c>
      <c r="D737" s="20">
        <f t="shared" si="55"/>
        <v>726000</v>
      </c>
      <c r="E737" s="20">
        <f t="shared" si="56"/>
        <v>799000</v>
      </c>
      <c r="F737" s="20">
        <f t="shared" si="57"/>
        <v>879000</v>
      </c>
      <c r="G737" s="20">
        <f t="shared" si="58"/>
        <v>967000</v>
      </c>
      <c r="H737" s="20">
        <f t="shared" si="59"/>
        <v>1063000</v>
      </c>
    </row>
    <row r="738" spans="1:8">
      <c r="A738" s="274">
        <v>734</v>
      </c>
      <c r="B738" s="222" t="s">
        <v>2294</v>
      </c>
      <c r="C738" s="275">
        <v>1291675</v>
      </c>
      <c r="D738" s="20">
        <f t="shared" si="55"/>
        <v>1292000</v>
      </c>
      <c r="E738" s="20">
        <f t="shared" si="56"/>
        <v>1421000</v>
      </c>
      <c r="F738" s="20">
        <f t="shared" si="57"/>
        <v>1563000</v>
      </c>
      <c r="G738" s="20">
        <f t="shared" si="58"/>
        <v>1720000</v>
      </c>
      <c r="H738" s="20">
        <f t="shared" si="59"/>
        <v>1892000</v>
      </c>
    </row>
    <row r="739" spans="1:8">
      <c r="A739" s="274">
        <v>735</v>
      </c>
      <c r="B739" s="222" t="s">
        <v>2295</v>
      </c>
      <c r="C739" s="275">
        <v>484000.00000000006</v>
      </c>
      <c r="D739" s="20">
        <f t="shared" si="55"/>
        <v>484000</v>
      </c>
      <c r="E739" s="20">
        <f t="shared" si="56"/>
        <v>533000</v>
      </c>
      <c r="F739" s="20">
        <f t="shared" si="57"/>
        <v>586000</v>
      </c>
      <c r="G739" s="20">
        <f t="shared" si="58"/>
        <v>645000</v>
      </c>
      <c r="H739" s="20">
        <f t="shared" si="59"/>
        <v>709000</v>
      </c>
    </row>
    <row r="740" spans="1:8">
      <c r="A740" s="274">
        <v>736</v>
      </c>
      <c r="B740" s="222" t="s">
        <v>2296</v>
      </c>
      <c r="C740" s="275">
        <v>3712431.8000000003</v>
      </c>
      <c r="D740" s="20">
        <f t="shared" si="55"/>
        <v>3713000</v>
      </c>
      <c r="E740" s="20">
        <f t="shared" si="56"/>
        <v>4084000</v>
      </c>
      <c r="F740" s="20">
        <f t="shared" si="57"/>
        <v>4493000</v>
      </c>
      <c r="G740" s="20">
        <f t="shared" si="58"/>
        <v>4942000</v>
      </c>
      <c r="H740" s="20">
        <f t="shared" si="59"/>
        <v>5436000</v>
      </c>
    </row>
    <row r="741" spans="1:8">
      <c r="A741" s="274">
        <v>737</v>
      </c>
      <c r="B741" s="222" t="s">
        <v>2297</v>
      </c>
      <c r="C741" s="275">
        <v>4036106.8000000003</v>
      </c>
      <c r="D741" s="20">
        <f t="shared" si="55"/>
        <v>4037000</v>
      </c>
      <c r="E741" s="20">
        <f t="shared" si="56"/>
        <v>4440000</v>
      </c>
      <c r="F741" s="20">
        <f t="shared" si="57"/>
        <v>4884000</v>
      </c>
      <c r="G741" s="20">
        <f t="shared" si="58"/>
        <v>5373000</v>
      </c>
      <c r="H741" s="20">
        <f t="shared" si="59"/>
        <v>5910000</v>
      </c>
    </row>
    <row r="742" spans="1:8">
      <c r="A742" s="274">
        <v>738</v>
      </c>
      <c r="B742" s="222" t="s">
        <v>2298</v>
      </c>
      <c r="C742" s="275">
        <v>1291675</v>
      </c>
      <c r="D742" s="20">
        <f t="shared" si="55"/>
        <v>1292000</v>
      </c>
      <c r="E742" s="20">
        <f t="shared" si="56"/>
        <v>1421000</v>
      </c>
      <c r="F742" s="20">
        <f t="shared" si="57"/>
        <v>1563000</v>
      </c>
      <c r="G742" s="20">
        <f t="shared" si="58"/>
        <v>1720000</v>
      </c>
      <c r="H742" s="20">
        <f t="shared" si="59"/>
        <v>1892000</v>
      </c>
    </row>
    <row r="743" spans="1:8">
      <c r="A743" s="274">
        <v>739</v>
      </c>
      <c r="B743" s="222" t="s">
        <v>2299</v>
      </c>
      <c r="C743" s="275">
        <v>1291675</v>
      </c>
      <c r="D743" s="20">
        <f t="shared" si="55"/>
        <v>1292000</v>
      </c>
      <c r="E743" s="20">
        <f t="shared" si="56"/>
        <v>1421000</v>
      </c>
      <c r="F743" s="20">
        <f t="shared" si="57"/>
        <v>1563000</v>
      </c>
      <c r="G743" s="20">
        <f t="shared" si="58"/>
        <v>1720000</v>
      </c>
      <c r="H743" s="20">
        <f t="shared" si="59"/>
        <v>1892000</v>
      </c>
    </row>
    <row r="744" spans="1:8">
      <c r="A744" s="274">
        <v>740</v>
      </c>
      <c r="B744" s="222" t="s">
        <v>2300</v>
      </c>
      <c r="C744" s="275">
        <v>726000.00000000012</v>
      </c>
      <c r="D744" s="20">
        <f t="shared" si="55"/>
        <v>726000</v>
      </c>
      <c r="E744" s="20">
        <f t="shared" si="56"/>
        <v>799000</v>
      </c>
      <c r="F744" s="20">
        <f t="shared" si="57"/>
        <v>879000</v>
      </c>
      <c r="G744" s="20">
        <f t="shared" si="58"/>
        <v>967000</v>
      </c>
      <c r="H744" s="20">
        <f t="shared" si="59"/>
        <v>1063000</v>
      </c>
    </row>
    <row r="745" spans="1:8">
      <c r="A745" s="274">
        <v>741</v>
      </c>
      <c r="B745" s="222" t="s">
        <v>2301</v>
      </c>
      <c r="C745" s="275">
        <v>2421512.5</v>
      </c>
      <c r="D745" s="20">
        <f t="shared" si="55"/>
        <v>2422000</v>
      </c>
      <c r="E745" s="20">
        <f t="shared" si="56"/>
        <v>2664000</v>
      </c>
      <c r="F745" s="20">
        <f t="shared" si="57"/>
        <v>2931000</v>
      </c>
      <c r="G745" s="20">
        <f t="shared" si="58"/>
        <v>3224000</v>
      </c>
      <c r="H745" s="20">
        <f t="shared" si="59"/>
        <v>3546000</v>
      </c>
    </row>
    <row r="746" spans="1:8">
      <c r="A746" s="274">
        <v>742</v>
      </c>
      <c r="B746" s="222" t="s">
        <v>2302</v>
      </c>
      <c r="C746" s="275">
        <v>1210756.8</v>
      </c>
      <c r="D746" s="20">
        <f t="shared" si="55"/>
        <v>1211000</v>
      </c>
      <c r="E746" s="20">
        <f t="shared" si="56"/>
        <v>1332000</v>
      </c>
      <c r="F746" s="20">
        <f t="shared" si="57"/>
        <v>1466000</v>
      </c>
      <c r="G746" s="20">
        <f t="shared" si="58"/>
        <v>1612000</v>
      </c>
      <c r="H746" s="20">
        <f t="shared" si="59"/>
        <v>1773000</v>
      </c>
    </row>
    <row r="747" spans="1:8">
      <c r="A747" s="274">
        <v>743</v>
      </c>
      <c r="B747" s="222" t="s">
        <v>2303</v>
      </c>
      <c r="C747" s="275">
        <v>1936756.8</v>
      </c>
      <c r="D747" s="20">
        <f t="shared" si="55"/>
        <v>1937000</v>
      </c>
      <c r="E747" s="20">
        <f t="shared" si="56"/>
        <v>2131000</v>
      </c>
      <c r="F747" s="20">
        <f t="shared" si="57"/>
        <v>2344000</v>
      </c>
      <c r="G747" s="20">
        <f t="shared" si="58"/>
        <v>2578000</v>
      </c>
      <c r="H747" s="20">
        <f t="shared" si="59"/>
        <v>2836000</v>
      </c>
    </row>
    <row r="748" spans="1:8">
      <c r="A748" s="274">
        <v>744</v>
      </c>
      <c r="B748" s="222" t="s">
        <v>2304</v>
      </c>
      <c r="C748" s="3">
        <v>330000</v>
      </c>
      <c r="D748" s="19">
        <f t="shared" si="55"/>
        <v>330000</v>
      </c>
      <c r="E748" s="19">
        <f t="shared" si="56"/>
        <v>363000</v>
      </c>
      <c r="F748" s="19">
        <f t="shared" si="57"/>
        <v>400000</v>
      </c>
      <c r="G748" s="20">
        <f t="shared" si="58"/>
        <v>440000</v>
      </c>
      <c r="H748" s="20">
        <f t="shared" si="59"/>
        <v>484000</v>
      </c>
    </row>
    <row r="751" spans="1:8">
      <c r="A751" s="67" t="s">
        <v>462</v>
      </c>
    </row>
    <row r="752" spans="1:8">
      <c r="A752" s="61" t="s">
        <v>1554</v>
      </c>
    </row>
    <row r="753" spans="1:1">
      <c r="A753" s="61" t="s">
        <v>463</v>
      </c>
    </row>
  </sheetData>
  <pageMargins left="0.23622047244094491" right="0.23622047244094491" top="0.74803149606299213" bottom="0.74803149606299213" header="0.31496062992125984" footer="0.31496062992125984"/>
  <pageSetup paperSize="9" scale="60" fitToWidth="0" fitToHeight="0" orientation="portrait" r:id="rId1"/>
  <headerFooter alignWithMargins="0">
    <oddHeader>&amp;R&amp;"-,Bold"RAWAT INAP</oddHeader>
    <oddFooter>&amp;L&amp;P+11 | &amp;F&amp;RTARIF TINDAKAN RAWAT INAP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04F47-085B-418A-A57C-304C029EBA67}">
  <sheetPr>
    <pageSetUpPr fitToPage="1"/>
  </sheetPr>
  <dimension ref="A1:J46"/>
  <sheetViews>
    <sheetView showGridLines="0" view="pageLayout" topLeftCell="A11" zoomScale="85" zoomScaleNormal="100" zoomScalePageLayoutView="85" workbookViewId="0">
      <selection activeCell="D22" sqref="D22"/>
    </sheetView>
  </sheetViews>
  <sheetFormatPr defaultRowHeight="15"/>
  <cols>
    <col min="1" max="1" width="9.140625" customWidth="1"/>
    <col min="2" max="2" width="51.85546875" customWidth="1"/>
    <col min="3" max="3" width="18.5703125" style="99" hidden="1" customWidth="1"/>
    <col min="4" max="4" width="18.5703125" style="99" customWidth="1"/>
    <col min="5" max="5" width="19" customWidth="1"/>
    <col min="6" max="6" width="18.42578125" customWidth="1"/>
    <col min="7" max="8" width="18.28515625" customWidth="1"/>
    <col min="9" max="9" width="14.140625" hidden="1" customWidth="1"/>
    <col min="10" max="10" width="13.85546875" hidden="1" customWidth="1"/>
  </cols>
  <sheetData>
    <row r="1" spans="1:10" ht="18.75">
      <c r="A1" s="50" t="s">
        <v>771</v>
      </c>
      <c r="B1" s="35"/>
      <c r="C1" s="98"/>
      <c r="D1" s="98"/>
      <c r="E1" s="10"/>
      <c r="F1" s="10"/>
      <c r="G1" s="10"/>
      <c r="H1" s="10"/>
      <c r="I1" s="1"/>
      <c r="J1" s="1"/>
    </row>
    <row r="2" spans="1:10" ht="18.75">
      <c r="A2" s="50" t="s">
        <v>469</v>
      </c>
      <c r="B2" s="35"/>
      <c r="C2" s="98"/>
      <c r="D2" s="98"/>
      <c r="E2" s="10"/>
      <c r="F2" s="10"/>
      <c r="G2" s="10"/>
      <c r="H2" s="10"/>
      <c r="I2" s="1"/>
      <c r="J2" s="1"/>
    </row>
    <row r="3" spans="1:10" ht="19.5" thickBot="1">
      <c r="A3" s="50"/>
      <c r="B3" s="35"/>
      <c r="C3" s="98"/>
      <c r="D3" s="98"/>
      <c r="E3" s="10"/>
      <c r="F3" s="10"/>
      <c r="G3" s="10"/>
      <c r="H3" s="10"/>
      <c r="I3" s="1"/>
      <c r="J3" s="1"/>
    </row>
    <row r="4" spans="1:10" ht="30.75" thickBot="1">
      <c r="A4" s="21" t="s">
        <v>15</v>
      </c>
      <c r="B4" s="21" t="s">
        <v>470</v>
      </c>
      <c r="C4" s="102"/>
      <c r="D4" s="102" t="s">
        <v>841</v>
      </c>
      <c r="E4" s="96" t="s">
        <v>21</v>
      </c>
      <c r="F4" s="96" t="s">
        <v>2306</v>
      </c>
      <c r="G4" s="96" t="s">
        <v>2305</v>
      </c>
      <c r="H4" s="96" t="s">
        <v>498</v>
      </c>
      <c r="I4" s="96" t="s">
        <v>60</v>
      </c>
      <c r="J4" s="96" t="s">
        <v>61</v>
      </c>
    </row>
    <row r="5" spans="1:10">
      <c r="A5" s="16">
        <v>1</v>
      </c>
      <c r="B5" s="2" t="s">
        <v>842</v>
      </c>
      <c r="C5" s="254">
        <v>116160.00000000001</v>
      </c>
      <c r="D5" s="101">
        <f>ROUNDUP(C5,-3)</f>
        <v>117000</v>
      </c>
      <c r="E5" s="20">
        <f>ROUNDUP(C5*1.1,-3)</f>
        <v>128000</v>
      </c>
      <c r="F5" s="20">
        <f>ROUNDUP(C5*1.1*1.1,-3)</f>
        <v>141000</v>
      </c>
      <c r="G5" s="20">
        <f>ROUNDUP(C5*1.1*1.1*1.1,-3)</f>
        <v>155000</v>
      </c>
      <c r="H5" s="20">
        <f>ROUNDUP(C5*1.1*1.1*1.1*1.1,-3)</f>
        <v>171000</v>
      </c>
      <c r="I5" s="20">
        <v>142000</v>
      </c>
      <c r="J5" s="20">
        <v>156000</v>
      </c>
    </row>
    <row r="6" spans="1:10">
      <c r="A6" s="16">
        <v>2</v>
      </c>
      <c r="B6" s="2" t="s">
        <v>1555</v>
      </c>
      <c r="C6" s="254">
        <v>95108.200000000012</v>
      </c>
      <c r="D6" s="101">
        <f t="shared" ref="D6:D44" si="0">ROUNDUP(C6,-3)</f>
        <v>96000</v>
      </c>
      <c r="E6" s="20">
        <f t="shared" ref="E6:E44" si="1">ROUNDUP(C6*1.1,-3)</f>
        <v>105000</v>
      </c>
      <c r="F6" s="20">
        <f t="shared" ref="F6:F44" si="2">ROUNDUP(C6*1.1*1.1,-3)</f>
        <v>116000</v>
      </c>
      <c r="G6" s="20">
        <f t="shared" ref="G6:G44" si="3">ROUNDUP(C6*1.1*1.1*1.1,-3)</f>
        <v>127000</v>
      </c>
      <c r="H6" s="20">
        <f t="shared" ref="H6:H44" si="4">ROUNDUP(C6*1.1*1.1*1.1*1.1,-3)</f>
        <v>140000</v>
      </c>
      <c r="I6" s="20">
        <v>157000</v>
      </c>
      <c r="J6" s="20">
        <v>173000</v>
      </c>
    </row>
    <row r="7" spans="1:10">
      <c r="A7" s="16">
        <v>3</v>
      </c>
      <c r="B7" s="2" t="s">
        <v>843</v>
      </c>
      <c r="C7" s="254">
        <v>221432.2</v>
      </c>
      <c r="D7" s="101">
        <f t="shared" si="0"/>
        <v>222000</v>
      </c>
      <c r="E7" s="20">
        <f t="shared" si="1"/>
        <v>244000</v>
      </c>
      <c r="F7" s="20">
        <f t="shared" si="2"/>
        <v>268000</v>
      </c>
      <c r="G7" s="20">
        <f t="shared" si="3"/>
        <v>295000</v>
      </c>
      <c r="H7" s="20">
        <f t="shared" si="4"/>
        <v>325000</v>
      </c>
      <c r="I7" s="20">
        <v>356000</v>
      </c>
      <c r="J7" s="20">
        <v>391000</v>
      </c>
    </row>
    <row r="8" spans="1:10">
      <c r="A8" s="16">
        <v>4</v>
      </c>
      <c r="B8" s="2" t="s">
        <v>471</v>
      </c>
      <c r="C8" s="254">
        <v>198000.00000000003</v>
      </c>
      <c r="D8" s="101">
        <f t="shared" si="0"/>
        <v>198000</v>
      </c>
      <c r="E8" s="20">
        <f t="shared" si="1"/>
        <v>218000</v>
      </c>
      <c r="F8" s="20">
        <f t="shared" si="2"/>
        <v>240000</v>
      </c>
      <c r="G8" s="20">
        <f t="shared" si="3"/>
        <v>264000</v>
      </c>
      <c r="H8" s="20">
        <f t="shared" si="4"/>
        <v>290000</v>
      </c>
      <c r="I8" s="20">
        <v>271000</v>
      </c>
      <c r="J8" s="20">
        <v>298000</v>
      </c>
    </row>
    <row r="9" spans="1:10">
      <c r="A9" s="16">
        <v>5</v>
      </c>
      <c r="B9" s="2" t="s">
        <v>472</v>
      </c>
      <c r="C9" s="254">
        <v>550000</v>
      </c>
      <c r="D9" s="101">
        <f t="shared" si="0"/>
        <v>550000</v>
      </c>
      <c r="E9" s="20">
        <f t="shared" si="1"/>
        <v>605000</v>
      </c>
      <c r="F9" s="20">
        <f t="shared" si="2"/>
        <v>666000</v>
      </c>
      <c r="G9" s="20">
        <f t="shared" si="3"/>
        <v>733000</v>
      </c>
      <c r="H9" s="20">
        <f t="shared" si="4"/>
        <v>806000</v>
      </c>
      <c r="I9" s="20">
        <v>89000</v>
      </c>
      <c r="J9" s="20">
        <v>98000</v>
      </c>
    </row>
    <row r="10" spans="1:10">
      <c r="A10" s="16">
        <v>6</v>
      </c>
      <c r="B10" s="2" t="s">
        <v>473</v>
      </c>
      <c r="C10" s="254">
        <v>96800.000000000015</v>
      </c>
      <c r="D10" s="101">
        <f t="shared" si="0"/>
        <v>97000</v>
      </c>
      <c r="E10" s="20">
        <f t="shared" si="1"/>
        <v>107000</v>
      </c>
      <c r="F10" s="20">
        <f t="shared" si="2"/>
        <v>118000</v>
      </c>
      <c r="G10" s="20">
        <f t="shared" si="3"/>
        <v>129000</v>
      </c>
      <c r="H10" s="20">
        <f t="shared" si="4"/>
        <v>142000</v>
      </c>
      <c r="I10" s="20">
        <v>124000</v>
      </c>
      <c r="J10" s="20">
        <v>136000</v>
      </c>
    </row>
    <row r="11" spans="1:10">
      <c r="A11" s="16">
        <v>7</v>
      </c>
      <c r="B11" s="2" t="s">
        <v>474</v>
      </c>
      <c r="C11" s="254">
        <v>143000</v>
      </c>
      <c r="D11" s="101">
        <f t="shared" si="0"/>
        <v>143000</v>
      </c>
      <c r="E11" s="20">
        <f t="shared" si="1"/>
        <v>158000</v>
      </c>
      <c r="F11" s="20">
        <f t="shared" si="2"/>
        <v>174000</v>
      </c>
      <c r="G11" s="20">
        <f t="shared" si="3"/>
        <v>191000</v>
      </c>
      <c r="H11" s="20">
        <f t="shared" si="4"/>
        <v>210000</v>
      </c>
      <c r="I11" s="20">
        <v>144000</v>
      </c>
      <c r="J11" s="20">
        <v>158000</v>
      </c>
    </row>
    <row r="12" spans="1:10">
      <c r="A12" s="16">
        <v>8</v>
      </c>
      <c r="B12" s="2" t="s">
        <v>475</v>
      </c>
      <c r="C12" s="254">
        <v>143000</v>
      </c>
      <c r="D12" s="101">
        <f t="shared" si="0"/>
        <v>143000</v>
      </c>
      <c r="E12" s="20">
        <f t="shared" si="1"/>
        <v>158000</v>
      </c>
      <c r="F12" s="20">
        <f t="shared" si="2"/>
        <v>174000</v>
      </c>
      <c r="G12" s="20">
        <f t="shared" si="3"/>
        <v>191000</v>
      </c>
      <c r="H12" s="20">
        <f t="shared" si="4"/>
        <v>210000</v>
      </c>
      <c r="I12" s="20">
        <v>154000</v>
      </c>
      <c r="J12" s="20">
        <v>169000</v>
      </c>
    </row>
    <row r="13" spans="1:10">
      <c r="A13" s="16">
        <v>9</v>
      </c>
      <c r="B13" s="2" t="s">
        <v>476</v>
      </c>
      <c r="C13" s="254">
        <v>121000.00000000001</v>
      </c>
      <c r="D13" s="101">
        <f t="shared" si="0"/>
        <v>121000</v>
      </c>
      <c r="E13" s="20">
        <f t="shared" si="1"/>
        <v>134000</v>
      </c>
      <c r="F13" s="20">
        <f t="shared" si="2"/>
        <v>147000</v>
      </c>
      <c r="G13" s="20">
        <f t="shared" si="3"/>
        <v>162000</v>
      </c>
      <c r="H13" s="20">
        <f t="shared" si="4"/>
        <v>178000</v>
      </c>
      <c r="I13" s="20">
        <v>124000</v>
      </c>
      <c r="J13" s="20">
        <v>136000</v>
      </c>
    </row>
    <row r="14" spans="1:10">
      <c r="A14" s="16">
        <v>10</v>
      </c>
      <c r="B14" s="2" t="s">
        <v>477</v>
      </c>
      <c r="C14" s="254">
        <v>143000</v>
      </c>
      <c r="D14" s="101">
        <f t="shared" si="0"/>
        <v>143000</v>
      </c>
      <c r="E14" s="20">
        <f t="shared" si="1"/>
        <v>158000</v>
      </c>
      <c r="F14" s="20">
        <f t="shared" si="2"/>
        <v>174000</v>
      </c>
      <c r="G14" s="20">
        <f t="shared" si="3"/>
        <v>191000</v>
      </c>
      <c r="H14" s="20">
        <f t="shared" si="4"/>
        <v>210000</v>
      </c>
      <c r="I14" s="20">
        <v>124000</v>
      </c>
      <c r="J14" s="20">
        <v>136000</v>
      </c>
    </row>
    <row r="15" spans="1:10">
      <c r="A15" s="16">
        <v>11</v>
      </c>
      <c r="B15" s="2" t="s">
        <v>478</v>
      </c>
      <c r="C15" s="254">
        <v>100916.20000000001</v>
      </c>
      <c r="D15" s="101">
        <f t="shared" si="0"/>
        <v>101000</v>
      </c>
      <c r="E15" s="20">
        <f t="shared" si="1"/>
        <v>112000</v>
      </c>
      <c r="F15" s="20">
        <f t="shared" si="2"/>
        <v>123000</v>
      </c>
      <c r="G15" s="20">
        <f t="shared" si="3"/>
        <v>135000</v>
      </c>
      <c r="H15" s="20">
        <f t="shared" si="4"/>
        <v>148000</v>
      </c>
      <c r="I15" s="20">
        <v>280000</v>
      </c>
      <c r="J15" s="20">
        <v>307000</v>
      </c>
    </row>
    <row r="16" spans="1:10">
      <c r="A16" s="16">
        <v>12</v>
      </c>
      <c r="B16" s="2" t="s">
        <v>479</v>
      </c>
      <c r="C16" s="254">
        <v>191400.00000000003</v>
      </c>
      <c r="D16" s="101">
        <f t="shared" si="0"/>
        <v>192000</v>
      </c>
      <c r="E16" s="20">
        <f t="shared" si="1"/>
        <v>211000</v>
      </c>
      <c r="F16" s="20">
        <f t="shared" si="2"/>
        <v>232000</v>
      </c>
      <c r="G16" s="20">
        <f t="shared" si="3"/>
        <v>255000</v>
      </c>
      <c r="H16" s="20">
        <f t="shared" si="4"/>
        <v>281000</v>
      </c>
      <c r="I16" s="20">
        <v>185000</v>
      </c>
      <c r="J16" s="20">
        <v>203000</v>
      </c>
    </row>
    <row r="17" spans="1:10">
      <c r="A17" s="16">
        <v>13</v>
      </c>
      <c r="B17" s="2" t="s">
        <v>480</v>
      </c>
      <c r="C17" s="254">
        <v>151008</v>
      </c>
      <c r="D17" s="101">
        <f t="shared" si="0"/>
        <v>152000</v>
      </c>
      <c r="E17" s="20">
        <f t="shared" si="1"/>
        <v>167000</v>
      </c>
      <c r="F17" s="20">
        <f t="shared" si="2"/>
        <v>183000</v>
      </c>
      <c r="G17" s="20">
        <f t="shared" si="3"/>
        <v>201000</v>
      </c>
      <c r="H17" s="20">
        <f t="shared" si="4"/>
        <v>222000</v>
      </c>
      <c r="I17" s="20">
        <v>115000</v>
      </c>
      <c r="J17" s="20">
        <v>126000</v>
      </c>
    </row>
    <row r="18" spans="1:10">
      <c r="A18" s="16">
        <v>14</v>
      </c>
      <c r="B18" s="2" t="s">
        <v>481</v>
      </c>
      <c r="C18" s="254">
        <v>198000.00000000003</v>
      </c>
      <c r="D18" s="101">
        <f t="shared" si="0"/>
        <v>198000</v>
      </c>
      <c r="E18" s="20">
        <f t="shared" si="1"/>
        <v>218000</v>
      </c>
      <c r="F18" s="20">
        <f t="shared" si="2"/>
        <v>240000</v>
      </c>
      <c r="G18" s="20">
        <f t="shared" si="3"/>
        <v>264000</v>
      </c>
      <c r="H18" s="20">
        <f t="shared" si="4"/>
        <v>290000</v>
      </c>
      <c r="I18" s="20">
        <v>54000</v>
      </c>
      <c r="J18" s="20">
        <v>59000</v>
      </c>
    </row>
    <row r="19" spans="1:10">
      <c r="A19" s="16">
        <v>15</v>
      </c>
      <c r="B19" s="2" t="s">
        <v>482</v>
      </c>
      <c r="C19" s="254">
        <v>110000.00000000001</v>
      </c>
      <c r="D19" s="101">
        <f t="shared" si="0"/>
        <v>110000</v>
      </c>
      <c r="E19" s="20">
        <f t="shared" si="1"/>
        <v>121000</v>
      </c>
      <c r="F19" s="20">
        <f t="shared" si="2"/>
        <v>134000</v>
      </c>
      <c r="G19" s="20">
        <f t="shared" si="3"/>
        <v>147000</v>
      </c>
      <c r="H19" s="20">
        <f t="shared" si="4"/>
        <v>162000</v>
      </c>
      <c r="I19" s="20">
        <v>232000</v>
      </c>
      <c r="J19" s="20">
        <v>255000</v>
      </c>
    </row>
    <row r="20" spans="1:10">
      <c r="A20" s="16">
        <v>16</v>
      </c>
      <c r="B20" s="2" t="s">
        <v>483</v>
      </c>
      <c r="C20" s="254">
        <v>189488.2</v>
      </c>
      <c r="D20" s="101">
        <f t="shared" si="0"/>
        <v>190000</v>
      </c>
      <c r="E20" s="20">
        <f t="shared" si="1"/>
        <v>209000</v>
      </c>
      <c r="F20" s="20">
        <f t="shared" si="2"/>
        <v>230000</v>
      </c>
      <c r="G20" s="20">
        <f t="shared" si="3"/>
        <v>253000</v>
      </c>
      <c r="H20" s="20">
        <f t="shared" si="4"/>
        <v>278000</v>
      </c>
      <c r="I20" s="20">
        <v>59000</v>
      </c>
      <c r="J20" s="20">
        <v>65000</v>
      </c>
    </row>
    <row r="21" spans="1:10">
      <c r="A21" s="16">
        <v>17</v>
      </c>
      <c r="B21" s="2" t="s">
        <v>484</v>
      </c>
      <c r="C21" s="254">
        <v>77000</v>
      </c>
      <c r="D21" s="101">
        <f t="shared" si="0"/>
        <v>77000</v>
      </c>
      <c r="E21" s="20">
        <f t="shared" si="1"/>
        <v>85000</v>
      </c>
      <c r="F21" s="20">
        <f t="shared" si="2"/>
        <v>94000</v>
      </c>
      <c r="G21" s="20">
        <f t="shared" si="3"/>
        <v>103000</v>
      </c>
      <c r="H21" s="20">
        <f t="shared" si="4"/>
        <v>113000</v>
      </c>
      <c r="I21" s="20">
        <v>142000</v>
      </c>
      <c r="J21" s="20">
        <v>156000</v>
      </c>
    </row>
    <row r="22" spans="1:10">
      <c r="A22" s="16">
        <v>18</v>
      </c>
      <c r="B22" s="2" t="s">
        <v>485</v>
      </c>
      <c r="C22" s="254">
        <v>77000</v>
      </c>
      <c r="D22" s="101">
        <f t="shared" si="0"/>
        <v>77000</v>
      </c>
      <c r="E22" s="20">
        <f t="shared" si="1"/>
        <v>85000</v>
      </c>
      <c r="F22" s="20">
        <f t="shared" si="2"/>
        <v>94000</v>
      </c>
      <c r="G22" s="20">
        <f t="shared" si="3"/>
        <v>103000</v>
      </c>
      <c r="H22" s="20">
        <f t="shared" si="4"/>
        <v>113000</v>
      </c>
      <c r="I22" s="20">
        <v>117000</v>
      </c>
      <c r="J22" s="20">
        <v>128000</v>
      </c>
    </row>
    <row r="23" spans="1:10">
      <c r="A23" s="16">
        <v>19</v>
      </c>
      <c r="B23" s="2" t="s">
        <v>486</v>
      </c>
      <c r="C23" s="254">
        <v>95108.200000000012</v>
      </c>
      <c r="D23" s="101">
        <f t="shared" si="0"/>
        <v>96000</v>
      </c>
      <c r="E23" s="20">
        <f t="shared" si="1"/>
        <v>105000</v>
      </c>
      <c r="F23" s="20">
        <f t="shared" si="2"/>
        <v>116000</v>
      </c>
      <c r="G23" s="20">
        <f t="shared" si="3"/>
        <v>127000</v>
      </c>
      <c r="H23" s="20">
        <f t="shared" si="4"/>
        <v>140000</v>
      </c>
      <c r="I23" s="20">
        <v>945000</v>
      </c>
      <c r="J23" s="20">
        <v>1039000</v>
      </c>
    </row>
    <row r="24" spans="1:10">
      <c r="A24" s="16">
        <v>20</v>
      </c>
      <c r="B24" s="2" t="s">
        <v>844</v>
      </c>
      <c r="C24" s="254">
        <v>143000</v>
      </c>
      <c r="D24" s="101">
        <f t="shared" si="0"/>
        <v>143000</v>
      </c>
      <c r="E24" s="20">
        <f t="shared" si="1"/>
        <v>158000</v>
      </c>
      <c r="F24" s="20">
        <f t="shared" si="2"/>
        <v>174000</v>
      </c>
      <c r="G24" s="20">
        <f t="shared" si="3"/>
        <v>191000</v>
      </c>
      <c r="H24" s="20">
        <f t="shared" si="4"/>
        <v>210000</v>
      </c>
      <c r="I24" s="20">
        <v>94000</v>
      </c>
      <c r="J24" s="20">
        <v>103000</v>
      </c>
    </row>
    <row r="25" spans="1:10">
      <c r="A25" s="16">
        <v>21</v>
      </c>
      <c r="B25" s="2" t="s">
        <v>487</v>
      </c>
      <c r="C25" s="254">
        <v>773916.00000000012</v>
      </c>
      <c r="D25" s="101">
        <f t="shared" si="0"/>
        <v>774000</v>
      </c>
      <c r="E25" s="20">
        <f t="shared" si="1"/>
        <v>852000</v>
      </c>
      <c r="F25" s="20">
        <f t="shared" si="2"/>
        <v>937000</v>
      </c>
      <c r="G25" s="20">
        <f t="shared" si="3"/>
        <v>1031000</v>
      </c>
      <c r="H25" s="20">
        <f t="shared" si="4"/>
        <v>1134000</v>
      </c>
      <c r="I25" s="20">
        <v>94000</v>
      </c>
      <c r="J25" s="20">
        <v>103000</v>
      </c>
    </row>
    <row r="26" spans="1:10">
      <c r="A26" s="16">
        <v>22</v>
      </c>
      <c r="B26" s="2" t="s">
        <v>488</v>
      </c>
      <c r="C26" s="254">
        <v>77000</v>
      </c>
      <c r="D26" s="101">
        <f t="shared" si="0"/>
        <v>77000</v>
      </c>
      <c r="E26" s="20">
        <f t="shared" si="1"/>
        <v>85000</v>
      </c>
      <c r="F26" s="20">
        <f t="shared" si="2"/>
        <v>94000</v>
      </c>
      <c r="G26" s="20">
        <f t="shared" si="3"/>
        <v>103000</v>
      </c>
      <c r="H26" s="20">
        <f t="shared" si="4"/>
        <v>113000</v>
      </c>
      <c r="I26" s="20">
        <v>238000</v>
      </c>
      <c r="J26" s="20">
        <v>262000</v>
      </c>
    </row>
    <row r="27" spans="1:10">
      <c r="A27" s="16">
        <v>23</v>
      </c>
      <c r="B27" s="2" t="s">
        <v>489</v>
      </c>
      <c r="C27" s="254">
        <v>77000</v>
      </c>
      <c r="D27" s="101">
        <f t="shared" si="0"/>
        <v>77000</v>
      </c>
      <c r="E27" s="20">
        <f t="shared" si="1"/>
        <v>85000</v>
      </c>
      <c r="F27" s="20">
        <f t="shared" si="2"/>
        <v>94000</v>
      </c>
      <c r="G27" s="20">
        <f t="shared" si="3"/>
        <v>103000</v>
      </c>
      <c r="H27" s="20">
        <f t="shared" si="4"/>
        <v>113000</v>
      </c>
      <c r="I27" s="20">
        <v>117000</v>
      </c>
      <c r="J27" s="20">
        <v>128000</v>
      </c>
    </row>
    <row r="28" spans="1:10">
      <c r="A28" s="16">
        <v>24</v>
      </c>
      <c r="B28" s="2" t="s">
        <v>490</v>
      </c>
      <c r="C28" s="254">
        <v>194568.00000000003</v>
      </c>
      <c r="D28" s="101">
        <f t="shared" si="0"/>
        <v>195000</v>
      </c>
      <c r="E28" s="20">
        <f t="shared" si="1"/>
        <v>215000</v>
      </c>
      <c r="F28" s="20">
        <f t="shared" si="2"/>
        <v>236000</v>
      </c>
      <c r="G28" s="20">
        <f t="shared" si="3"/>
        <v>259000</v>
      </c>
      <c r="H28" s="20">
        <f t="shared" si="4"/>
        <v>285000</v>
      </c>
      <c r="I28" s="20">
        <v>249000</v>
      </c>
      <c r="J28" s="20">
        <v>273000</v>
      </c>
    </row>
    <row r="29" spans="1:10">
      <c r="A29" s="16">
        <v>25</v>
      </c>
      <c r="B29" s="2" t="s">
        <v>13</v>
      </c>
      <c r="C29" s="254">
        <v>95108.200000000012</v>
      </c>
      <c r="D29" s="101">
        <f t="shared" si="0"/>
        <v>96000</v>
      </c>
      <c r="E29" s="20">
        <f t="shared" si="1"/>
        <v>105000</v>
      </c>
      <c r="F29" s="20">
        <f t="shared" si="2"/>
        <v>116000</v>
      </c>
      <c r="G29" s="20">
        <f t="shared" si="3"/>
        <v>127000</v>
      </c>
      <c r="H29" s="20">
        <f t="shared" si="4"/>
        <v>140000</v>
      </c>
      <c r="I29" s="20">
        <v>652000</v>
      </c>
      <c r="J29" s="20">
        <v>717000</v>
      </c>
    </row>
    <row r="30" spans="1:10">
      <c r="A30" s="16">
        <v>26</v>
      </c>
      <c r="B30" s="2" t="s">
        <v>491</v>
      </c>
      <c r="C30" s="254">
        <v>203280.00000000003</v>
      </c>
      <c r="D30" s="101">
        <f t="shared" si="0"/>
        <v>204000</v>
      </c>
      <c r="E30" s="20">
        <f t="shared" si="1"/>
        <v>224000</v>
      </c>
      <c r="F30" s="20">
        <f t="shared" si="2"/>
        <v>246000</v>
      </c>
      <c r="G30" s="20">
        <f t="shared" si="3"/>
        <v>271000</v>
      </c>
      <c r="H30" s="20">
        <f t="shared" si="4"/>
        <v>298000</v>
      </c>
      <c r="I30" s="20">
        <v>117000</v>
      </c>
      <c r="J30" s="20">
        <v>128000</v>
      </c>
    </row>
    <row r="31" spans="1:10">
      <c r="A31" s="16">
        <v>27</v>
      </c>
      <c r="B31" s="2" t="s">
        <v>492</v>
      </c>
      <c r="C31" s="254">
        <v>444676.10000000003</v>
      </c>
      <c r="D31" s="101">
        <f t="shared" si="0"/>
        <v>445000</v>
      </c>
      <c r="E31" s="20">
        <f t="shared" si="1"/>
        <v>490000</v>
      </c>
      <c r="F31" s="20">
        <f t="shared" si="2"/>
        <v>539000</v>
      </c>
      <c r="G31" s="20">
        <f t="shared" si="3"/>
        <v>592000</v>
      </c>
      <c r="H31" s="20">
        <f t="shared" si="4"/>
        <v>652000</v>
      </c>
    </row>
    <row r="32" spans="1:10">
      <c r="A32" s="16">
        <v>28</v>
      </c>
      <c r="B32" s="2" t="s">
        <v>493</v>
      </c>
      <c r="C32" s="254">
        <v>95108.200000000012</v>
      </c>
      <c r="D32" s="101">
        <f t="shared" si="0"/>
        <v>96000</v>
      </c>
      <c r="E32" s="20">
        <f t="shared" si="1"/>
        <v>105000</v>
      </c>
      <c r="F32" s="20">
        <f t="shared" si="2"/>
        <v>116000</v>
      </c>
      <c r="G32" s="20">
        <f t="shared" si="3"/>
        <v>127000</v>
      </c>
      <c r="H32" s="20">
        <f t="shared" si="4"/>
        <v>140000</v>
      </c>
    </row>
    <row r="33" spans="1:8">
      <c r="A33" s="16">
        <v>29</v>
      </c>
      <c r="B33" s="2" t="s">
        <v>1556</v>
      </c>
      <c r="C33" s="254">
        <v>518100.00000000006</v>
      </c>
      <c r="D33" s="101">
        <f t="shared" si="0"/>
        <v>519000</v>
      </c>
      <c r="E33" s="20">
        <f t="shared" si="1"/>
        <v>570000</v>
      </c>
      <c r="F33" s="20">
        <f t="shared" si="2"/>
        <v>627000</v>
      </c>
      <c r="G33" s="20">
        <f t="shared" si="3"/>
        <v>690000</v>
      </c>
      <c r="H33" s="20">
        <f t="shared" si="4"/>
        <v>759000</v>
      </c>
    </row>
    <row r="34" spans="1:8">
      <c r="A34" s="16">
        <v>30</v>
      </c>
      <c r="B34" s="2" t="s">
        <v>1557</v>
      </c>
      <c r="C34" s="254">
        <v>518100.00000000006</v>
      </c>
      <c r="D34" s="101">
        <f t="shared" si="0"/>
        <v>519000</v>
      </c>
      <c r="E34" s="20">
        <f t="shared" si="1"/>
        <v>570000</v>
      </c>
      <c r="F34" s="20">
        <f t="shared" si="2"/>
        <v>627000</v>
      </c>
      <c r="G34" s="20">
        <f t="shared" si="3"/>
        <v>690000</v>
      </c>
      <c r="H34" s="20">
        <f t="shared" si="4"/>
        <v>759000</v>
      </c>
    </row>
    <row r="35" spans="1:8">
      <c r="A35" s="16">
        <v>31</v>
      </c>
      <c r="B35" s="2" t="s">
        <v>1558</v>
      </c>
      <c r="C35" s="254">
        <v>518100.00000000006</v>
      </c>
      <c r="D35" s="101">
        <f t="shared" si="0"/>
        <v>519000</v>
      </c>
      <c r="E35" s="20">
        <f t="shared" si="1"/>
        <v>570000</v>
      </c>
      <c r="F35" s="20">
        <f t="shared" si="2"/>
        <v>627000</v>
      </c>
      <c r="G35" s="20">
        <f t="shared" si="3"/>
        <v>690000</v>
      </c>
      <c r="H35" s="20">
        <f t="shared" si="4"/>
        <v>759000</v>
      </c>
    </row>
    <row r="36" spans="1:8">
      <c r="A36" s="16">
        <v>32</v>
      </c>
      <c r="B36" s="2" t="s">
        <v>1559</v>
      </c>
      <c r="C36" s="254">
        <v>176550</v>
      </c>
      <c r="D36" s="101">
        <f t="shared" si="0"/>
        <v>177000</v>
      </c>
      <c r="E36" s="20">
        <f t="shared" si="1"/>
        <v>195000</v>
      </c>
      <c r="F36" s="20">
        <f t="shared" si="2"/>
        <v>214000</v>
      </c>
      <c r="G36" s="20">
        <f t="shared" si="3"/>
        <v>235000</v>
      </c>
      <c r="H36" s="20">
        <f t="shared" si="4"/>
        <v>259000</v>
      </c>
    </row>
    <row r="37" spans="1:8">
      <c r="A37" s="16">
        <v>33</v>
      </c>
      <c r="B37" s="2" t="s">
        <v>1560</v>
      </c>
      <c r="C37" s="254">
        <v>355575</v>
      </c>
      <c r="D37" s="101">
        <f t="shared" si="0"/>
        <v>356000</v>
      </c>
      <c r="E37" s="20">
        <f t="shared" si="1"/>
        <v>392000</v>
      </c>
      <c r="F37" s="20">
        <f t="shared" si="2"/>
        <v>431000</v>
      </c>
      <c r="G37" s="20">
        <f t="shared" si="3"/>
        <v>474000</v>
      </c>
      <c r="H37" s="20">
        <f t="shared" si="4"/>
        <v>521000</v>
      </c>
    </row>
    <row r="38" spans="1:8">
      <c r="A38" s="16">
        <v>34</v>
      </c>
      <c r="B38" s="2" t="s">
        <v>1561</v>
      </c>
      <c r="C38" s="254">
        <v>355575</v>
      </c>
      <c r="D38" s="101">
        <f t="shared" si="0"/>
        <v>356000</v>
      </c>
      <c r="E38" s="20">
        <f t="shared" si="1"/>
        <v>392000</v>
      </c>
      <c r="F38" s="20">
        <f t="shared" si="2"/>
        <v>431000</v>
      </c>
      <c r="G38" s="20">
        <f t="shared" si="3"/>
        <v>474000</v>
      </c>
      <c r="H38" s="20">
        <f t="shared" si="4"/>
        <v>521000</v>
      </c>
    </row>
    <row r="39" spans="1:8">
      <c r="A39" s="16">
        <v>35</v>
      </c>
      <c r="B39" s="2" t="s">
        <v>1562</v>
      </c>
      <c r="C39" s="254">
        <v>176550</v>
      </c>
      <c r="D39" s="101">
        <f t="shared" si="0"/>
        <v>177000</v>
      </c>
      <c r="E39" s="20">
        <f t="shared" si="1"/>
        <v>195000</v>
      </c>
      <c r="F39" s="20">
        <f t="shared" si="2"/>
        <v>214000</v>
      </c>
      <c r="G39" s="20">
        <f t="shared" si="3"/>
        <v>235000</v>
      </c>
      <c r="H39" s="20">
        <f t="shared" si="4"/>
        <v>259000</v>
      </c>
    </row>
    <row r="40" spans="1:8">
      <c r="A40" s="16">
        <v>36</v>
      </c>
      <c r="B40" s="2" t="s">
        <v>1563</v>
      </c>
      <c r="C40" s="254">
        <v>406725.00000000006</v>
      </c>
      <c r="D40" s="101">
        <f t="shared" si="0"/>
        <v>407000</v>
      </c>
      <c r="E40" s="20">
        <f t="shared" si="1"/>
        <v>448000</v>
      </c>
      <c r="F40" s="20">
        <f t="shared" si="2"/>
        <v>493000</v>
      </c>
      <c r="G40" s="20">
        <f t="shared" si="3"/>
        <v>542000</v>
      </c>
      <c r="H40" s="20">
        <f t="shared" si="4"/>
        <v>596000</v>
      </c>
    </row>
    <row r="41" spans="1:8">
      <c r="A41" s="16">
        <v>37</v>
      </c>
      <c r="B41" s="2" t="s">
        <v>1564</v>
      </c>
      <c r="C41" s="254">
        <v>475200.00000000006</v>
      </c>
      <c r="D41" s="101">
        <f t="shared" si="0"/>
        <v>476000</v>
      </c>
      <c r="E41" s="20">
        <f t="shared" si="1"/>
        <v>523000</v>
      </c>
      <c r="F41" s="20">
        <f t="shared" si="2"/>
        <v>575000</v>
      </c>
      <c r="G41" s="20">
        <f t="shared" si="3"/>
        <v>633000</v>
      </c>
      <c r="H41" s="20">
        <f t="shared" si="4"/>
        <v>696000</v>
      </c>
    </row>
    <row r="42" spans="1:8">
      <c r="A42" s="16">
        <v>38</v>
      </c>
      <c r="B42" s="2" t="s">
        <v>1565</v>
      </c>
      <c r="C42" s="254">
        <v>351450</v>
      </c>
      <c r="D42" s="101">
        <f t="shared" si="0"/>
        <v>352000</v>
      </c>
      <c r="E42" s="20">
        <f t="shared" si="1"/>
        <v>387000</v>
      </c>
      <c r="F42" s="20">
        <f t="shared" si="2"/>
        <v>426000</v>
      </c>
      <c r="G42" s="20">
        <f t="shared" si="3"/>
        <v>468000</v>
      </c>
      <c r="H42" s="20">
        <f t="shared" si="4"/>
        <v>515000</v>
      </c>
    </row>
    <row r="43" spans="1:8">
      <c r="A43" s="16">
        <v>39</v>
      </c>
      <c r="B43" s="2" t="s">
        <v>1566</v>
      </c>
      <c r="C43" s="254">
        <v>165000</v>
      </c>
      <c r="D43" s="101">
        <f t="shared" si="0"/>
        <v>165000</v>
      </c>
      <c r="E43" s="20">
        <f t="shared" si="1"/>
        <v>182000</v>
      </c>
      <c r="F43" s="20">
        <f t="shared" si="2"/>
        <v>200000</v>
      </c>
      <c r="G43" s="20">
        <f t="shared" si="3"/>
        <v>220000</v>
      </c>
      <c r="H43" s="20">
        <f t="shared" si="4"/>
        <v>242000</v>
      </c>
    </row>
    <row r="44" spans="1:8">
      <c r="A44" s="16">
        <v>40</v>
      </c>
      <c r="B44" s="2" t="s">
        <v>1567</v>
      </c>
      <c r="C44" s="254">
        <v>352275</v>
      </c>
      <c r="D44" s="101">
        <f t="shared" si="0"/>
        <v>353000</v>
      </c>
      <c r="E44" s="20">
        <f t="shared" si="1"/>
        <v>388000</v>
      </c>
      <c r="F44" s="20">
        <f t="shared" si="2"/>
        <v>427000</v>
      </c>
      <c r="G44" s="20">
        <f t="shared" si="3"/>
        <v>469000</v>
      </c>
      <c r="H44" s="20">
        <f t="shared" si="4"/>
        <v>516000</v>
      </c>
    </row>
    <row r="46" spans="1:8">
      <c r="A46" s="61" t="s">
        <v>1554</v>
      </c>
    </row>
  </sheetData>
  <sheetProtection algorithmName="SHA-512" hashValue="qc3HVQWjJpOYWEUrLlQ9FDULX51Ie4ntlSW5xtzey8EYK9OjcuUQWeD3j7cQ9GiKpHbVpSPza49Wx7CHavIIDQ==" saltValue="+8kqNalW+vlHu3Ia78XVWw==" spinCount="100000" sheet="1" objects="1" scenarios="1"/>
  <pageMargins left="0.25" right="0.25" top="0.75" bottom="0.75" header="0.3" footer="0.3"/>
  <pageSetup paperSize="9" scale="64" fitToHeight="0" orientation="portrait" horizontalDpi="4294967293" r:id="rId1"/>
  <headerFooter>
    <oddHeader>&amp;R&amp;"-,Bold"FISIOTERAPI</oddHeader>
    <oddFooter>&amp;L&amp;P+21| &amp;F&amp;RTARIF TINDAKAN FISIOTERAPI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2867E-9604-422F-A26D-5C0989E2AA9F}">
  <sheetPr codeName="Sheet5">
    <pageSetUpPr fitToPage="1"/>
  </sheetPr>
  <dimension ref="A1:J356"/>
  <sheetViews>
    <sheetView showGridLines="0" view="pageLayout" topLeftCell="A46" zoomScale="70" zoomScaleNormal="95" zoomScalePageLayoutView="70" workbookViewId="0">
      <selection activeCell="E61" sqref="E61"/>
    </sheetView>
  </sheetViews>
  <sheetFormatPr defaultRowHeight="19.899999999999999" customHeight="1"/>
  <cols>
    <col min="1" max="1" width="8.85546875" style="15"/>
    <col min="2" max="2" width="40.140625" customWidth="1"/>
    <col min="3" max="3" width="15.5703125" hidden="1" customWidth="1"/>
    <col min="4" max="4" width="16.85546875" style="99" customWidth="1"/>
    <col min="5" max="5" width="17" style="99" bestFit="1" customWidth="1"/>
    <col min="6" max="6" width="16.28515625" style="99" customWidth="1"/>
    <col min="7" max="7" width="16.5703125" style="99" customWidth="1"/>
    <col min="8" max="8" width="18.42578125" style="99" customWidth="1"/>
    <col min="9" max="9" width="16.28515625" style="1" hidden="1" customWidth="1"/>
    <col min="10" max="10" width="15" style="1" hidden="1" customWidth="1"/>
  </cols>
  <sheetData>
    <row r="1" spans="1:10" ht="19.899999999999999" customHeight="1">
      <c r="A1" s="65" t="s">
        <v>772</v>
      </c>
      <c r="C1" s="25"/>
      <c r="D1" s="98"/>
      <c r="E1" s="98"/>
      <c r="F1" s="98"/>
      <c r="G1" s="98"/>
      <c r="H1" s="98"/>
    </row>
    <row r="2" spans="1:10" ht="19.899999999999999" customHeight="1">
      <c r="A2" s="65" t="s">
        <v>503</v>
      </c>
      <c r="C2" s="25"/>
      <c r="D2" s="98"/>
      <c r="E2" s="98"/>
      <c r="F2" s="98"/>
      <c r="G2" s="98"/>
      <c r="H2" s="98"/>
    </row>
    <row r="3" spans="1:10" ht="19.899999999999999" customHeight="1">
      <c r="A3" s="65"/>
      <c r="C3" s="25"/>
      <c r="D3" s="98"/>
      <c r="E3" s="98"/>
      <c r="F3" s="98"/>
      <c r="G3" s="98"/>
      <c r="H3" s="98"/>
    </row>
    <row r="4" spans="1:10" ht="19.899999999999999" customHeight="1" thickBot="1">
      <c r="A4" s="112" t="s">
        <v>773</v>
      </c>
      <c r="B4" s="66"/>
      <c r="C4" s="59"/>
      <c r="D4" s="115"/>
      <c r="E4" s="115"/>
      <c r="F4" s="115"/>
      <c r="G4" s="115"/>
      <c r="H4" s="115"/>
      <c r="I4" s="46"/>
      <c r="J4" s="46"/>
    </row>
    <row r="5" spans="1:10" ht="30.75" thickBot="1">
      <c r="A5" s="51" t="s">
        <v>15</v>
      </c>
      <c r="B5" s="221" t="s">
        <v>62</v>
      </c>
      <c r="C5" s="51"/>
      <c r="D5" s="116" t="s">
        <v>2312</v>
      </c>
      <c r="E5" s="116" t="s">
        <v>21</v>
      </c>
      <c r="F5" s="116" t="s">
        <v>2309</v>
      </c>
      <c r="G5" s="116" t="s">
        <v>2311</v>
      </c>
      <c r="H5" s="116" t="s">
        <v>498</v>
      </c>
      <c r="I5" s="56" t="s">
        <v>60</v>
      </c>
      <c r="J5" s="56" t="s">
        <v>61</v>
      </c>
    </row>
    <row r="6" spans="1:10" ht="19.899999999999999" customHeight="1">
      <c r="A6" s="73">
        <v>1</v>
      </c>
      <c r="B6" s="222" t="s">
        <v>89</v>
      </c>
      <c r="C6" s="216">
        <v>660660</v>
      </c>
      <c r="D6" s="74">
        <f>ROUNDUP(C6,-3)</f>
        <v>661000</v>
      </c>
      <c r="E6" s="74">
        <f>ROUNDUP($C6*1.1,-3)</f>
        <v>727000</v>
      </c>
      <c r="F6" s="74">
        <f>ROUNDUP($C6*1.1*1.19,-3)</f>
        <v>865000</v>
      </c>
      <c r="G6" s="74">
        <f>ROUNDUP($C6*1.1*1.19*1.1,-3)</f>
        <v>952000</v>
      </c>
      <c r="H6" s="74">
        <f>ROUNDUP($C6*1.1*1.19*1.1*1.1,-3)</f>
        <v>1047000</v>
      </c>
      <c r="I6" s="75">
        <v>1047000</v>
      </c>
      <c r="J6" s="75">
        <v>1152000</v>
      </c>
    </row>
    <row r="7" spans="1:10" ht="19.899999999999999" customHeight="1">
      <c r="A7" s="76">
        <v>2</v>
      </c>
      <c r="B7" s="222" t="s">
        <v>90</v>
      </c>
      <c r="C7" s="217">
        <v>885720.00000000012</v>
      </c>
      <c r="D7" s="74">
        <f t="shared" ref="D7:D70" si="0">ROUNDUP(C7,-3)</f>
        <v>886000</v>
      </c>
      <c r="E7" s="74">
        <f t="shared" ref="E7:E70" si="1">ROUNDUP($C7*1.1,-3)</f>
        <v>975000</v>
      </c>
      <c r="F7" s="74">
        <f t="shared" ref="F7:F70" si="2">ROUNDUP($C7*1.1*1.19,-3)</f>
        <v>1160000</v>
      </c>
      <c r="G7" s="74">
        <f t="shared" ref="G7:G70" si="3">ROUNDUP($C7*1.1*1.19*1.1,-3)</f>
        <v>1276000</v>
      </c>
      <c r="H7" s="74">
        <f t="shared" ref="H7:H70" si="4">ROUNDUP($C7*1.1*1.19*1.1*1.1,-3)</f>
        <v>1403000</v>
      </c>
      <c r="I7" s="75">
        <v>1403000</v>
      </c>
      <c r="J7" s="75">
        <v>1544000</v>
      </c>
    </row>
    <row r="8" spans="1:10" ht="19.899999999999999" customHeight="1">
      <c r="A8" s="76">
        <v>3</v>
      </c>
      <c r="B8" s="222" t="s">
        <v>91</v>
      </c>
      <c r="C8" s="217">
        <v>342430</v>
      </c>
      <c r="D8" s="74">
        <f t="shared" si="0"/>
        <v>343000</v>
      </c>
      <c r="E8" s="74">
        <f t="shared" si="1"/>
        <v>377000</v>
      </c>
      <c r="F8" s="74">
        <f t="shared" si="2"/>
        <v>449000</v>
      </c>
      <c r="G8" s="74">
        <f t="shared" si="3"/>
        <v>494000</v>
      </c>
      <c r="H8" s="74">
        <f t="shared" si="4"/>
        <v>543000</v>
      </c>
      <c r="I8" s="75">
        <v>543000</v>
      </c>
      <c r="J8" s="75">
        <v>597000</v>
      </c>
    </row>
    <row r="9" spans="1:10" ht="19.899999999999999" customHeight="1">
      <c r="A9" s="76">
        <v>4</v>
      </c>
      <c r="B9" s="222" t="s">
        <v>112</v>
      </c>
      <c r="C9" s="218">
        <v>513646.10000000003</v>
      </c>
      <c r="D9" s="74">
        <f t="shared" si="0"/>
        <v>514000</v>
      </c>
      <c r="E9" s="74">
        <f t="shared" si="1"/>
        <v>566000</v>
      </c>
      <c r="F9" s="74">
        <f t="shared" si="2"/>
        <v>673000</v>
      </c>
      <c r="G9" s="74">
        <f t="shared" si="3"/>
        <v>740000</v>
      </c>
      <c r="H9" s="74">
        <f t="shared" si="4"/>
        <v>814000</v>
      </c>
      <c r="I9" s="75">
        <v>814000</v>
      </c>
      <c r="J9" s="75">
        <v>895000</v>
      </c>
    </row>
    <row r="10" spans="1:10" ht="19.899999999999999" customHeight="1">
      <c r="A10" s="76">
        <v>5</v>
      </c>
      <c r="B10" s="222" t="s">
        <v>113</v>
      </c>
      <c r="C10" s="219">
        <v>369656.10000000003</v>
      </c>
      <c r="D10" s="74">
        <f t="shared" si="0"/>
        <v>370000</v>
      </c>
      <c r="E10" s="74">
        <f t="shared" si="1"/>
        <v>407000</v>
      </c>
      <c r="F10" s="74">
        <f t="shared" si="2"/>
        <v>484000</v>
      </c>
      <c r="G10" s="74">
        <f t="shared" si="3"/>
        <v>533000</v>
      </c>
      <c r="H10" s="74">
        <f t="shared" si="4"/>
        <v>586000</v>
      </c>
      <c r="I10" s="75">
        <v>586000</v>
      </c>
      <c r="J10" s="75">
        <v>645000</v>
      </c>
    </row>
    <row r="11" spans="1:10" ht="19.899999999999999" customHeight="1">
      <c r="A11" s="76">
        <v>6</v>
      </c>
      <c r="B11" s="222" t="s">
        <v>95</v>
      </c>
      <c r="C11" s="217">
        <v>513646.10000000003</v>
      </c>
      <c r="D11" s="74">
        <f t="shared" si="0"/>
        <v>514000</v>
      </c>
      <c r="E11" s="74">
        <f>ROUNDUP($C11*1.1,-3)</f>
        <v>566000</v>
      </c>
      <c r="F11" s="74">
        <f t="shared" si="2"/>
        <v>673000</v>
      </c>
      <c r="G11" s="74">
        <f t="shared" si="3"/>
        <v>740000</v>
      </c>
      <c r="H11" s="74">
        <f t="shared" si="4"/>
        <v>814000</v>
      </c>
      <c r="I11" s="75">
        <v>814000</v>
      </c>
      <c r="J11" s="75">
        <v>895000</v>
      </c>
    </row>
    <row r="12" spans="1:10" ht="19.899999999999999" customHeight="1">
      <c r="A12" s="76">
        <v>7</v>
      </c>
      <c r="B12" s="222" t="s">
        <v>96</v>
      </c>
      <c r="C12" s="217">
        <v>369656.10000000003</v>
      </c>
      <c r="D12" s="74">
        <f t="shared" si="0"/>
        <v>370000</v>
      </c>
      <c r="E12" s="74">
        <f t="shared" si="1"/>
        <v>407000</v>
      </c>
      <c r="F12" s="74">
        <f t="shared" si="2"/>
        <v>484000</v>
      </c>
      <c r="G12" s="74">
        <f t="shared" si="3"/>
        <v>533000</v>
      </c>
      <c r="H12" s="74">
        <f t="shared" si="4"/>
        <v>586000</v>
      </c>
      <c r="I12" s="75">
        <v>586000</v>
      </c>
      <c r="J12" s="75">
        <v>645000</v>
      </c>
    </row>
    <row r="13" spans="1:10" ht="19.899999999999999" customHeight="1">
      <c r="A13" s="76">
        <v>8</v>
      </c>
      <c r="B13" s="222" t="s">
        <v>123</v>
      </c>
      <c r="C13" s="219">
        <v>632830</v>
      </c>
      <c r="D13" s="74">
        <f t="shared" si="0"/>
        <v>633000</v>
      </c>
      <c r="E13" s="74">
        <f t="shared" si="1"/>
        <v>697000</v>
      </c>
      <c r="F13" s="74">
        <f t="shared" si="2"/>
        <v>829000</v>
      </c>
      <c r="G13" s="74">
        <f t="shared" si="3"/>
        <v>912000</v>
      </c>
      <c r="H13" s="74">
        <f t="shared" si="4"/>
        <v>1003000</v>
      </c>
      <c r="I13" s="75">
        <v>1003000</v>
      </c>
      <c r="J13" s="75">
        <v>1103000</v>
      </c>
    </row>
    <row r="14" spans="1:10" ht="19.899999999999999" customHeight="1">
      <c r="A14" s="76">
        <v>9</v>
      </c>
      <c r="B14" s="222" t="s">
        <v>97</v>
      </c>
      <c r="C14" s="217">
        <v>397486.10000000003</v>
      </c>
      <c r="D14" s="74">
        <f t="shared" si="0"/>
        <v>398000</v>
      </c>
      <c r="E14" s="74">
        <f t="shared" si="1"/>
        <v>438000</v>
      </c>
      <c r="F14" s="74">
        <f t="shared" si="2"/>
        <v>521000</v>
      </c>
      <c r="G14" s="74">
        <f t="shared" si="3"/>
        <v>573000</v>
      </c>
      <c r="H14" s="74">
        <f t="shared" si="4"/>
        <v>630000</v>
      </c>
      <c r="I14" s="75">
        <v>630000</v>
      </c>
      <c r="J14" s="75">
        <v>693000</v>
      </c>
    </row>
    <row r="15" spans="1:10" ht="19.899999999999999" customHeight="1">
      <c r="A15" s="76">
        <v>10</v>
      </c>
      <c r="B15" s="222" t="s">
        <v>98</v>
      </c>
      <c r="C15" s="217">
        <v>274066.10000000003</v>
      </c>
      <c r="D15" s="74">
        <f t="shared" si="0"/>
        <v>275000</v>
      </c>
      <c r="E15" s="74">
        <f t="shared" si="1"/>
        <v>302000</v>
      </c>
      <c r="F15" s="74">
        <f t="shared" si="2"/>
        <v>359000</v>
      </c>
      <c r="G15" s="74">
        <f t="shared" si="3"/>
        <v>395000</v>
      </c>
      <c r="H15" s="74">
        <f t="shared" si="4"/>
        <v>435000</v>
      </c>
      <c r="I15" s="75">
        <v>435000</v>
      </c>
      <c r="J15" s="75">
        <v>478000</v>
      </c>
    </row>
    <row r="16" spans="1:10" ht="19.899999999999999" customHeight="1">
      <c r="A16" s="76">
        <v>11</v>
      </c>
      <c r="B16" s="222" t="s">
        <v>92</v>
      </c>
      <c r="C16" s="217">
        <v>306130</v>
      </c>
      <c r="D16" s="74">
        <f t="shared" si="0"/>
        <v>307000</v>
      </c>
      <c r="E16" s="74">
        <f t="shared" si="1"/>
        <v>337000</v>
      </c>
      <c r="F16" s="74">
        <f t="shared" si="2"/>
        <v>401000</v>
      </c>
      <c r="G16" s="74">
        <f t="shared" si="3"/>
        <v>441000</v>
      </c>
      <c r="H16" s="74">
        <f t="shared" si="4"/>
        <v>485000</v>
      </c>
      <c r="I16" s="75">
        <v>485000</v>
      </c>
      <c r="J16" s="75">
        <v>534000</v>
      </c>
    </row>
    <row r="17" spans="1:10" ht="19.899999999999999" customHeight="1">
      <c r="A17" s="76">
        <v>13</v>
      </c>
      <c r="B17" s="222" t="s">
        <v>1260</v>
      </c>
      <c r="C17" s="219">
        <v>2862860</v>
      </c>
      <c r="D17" s="74">
        <f t="shared" si="0"/>
        <v>2863000</v>
      </c>
      <c r="E17" s="74">
        <f t="shared" si="1"/>
        <v>3150000</v>
      </c>
      <c r="F17" s="74">
        <f t="shared" si="2"/>
        <v>3748000</v>
      </c>
      <c r="G17" s="74">
        <f t="shared" si="3"/>
        <v>4123000</v>
      </c>
      <c r="H17" s="74">
        <f t="shared" si="4"/>
        <v>4535000</v>
      </c>
      <c r="I17" s="75">
        <v>586000</v>
      </c>
      <c r="J17" s="75">
        <v>645000</v>
      </c>
    </row>
    <row r="18" spans="1:10" ht="19.899999999999999" customHeight="1">
      <c r="A18" s="76">
        <v>14</v>
      </c>
      <c r="B18" s="222" t="s">
        <v>1261</v>
      </c>
      <c r="C18" s="217">
        <v>3300000.0000000005</v>
      </c>
      <c r="D18" s="74">
        <f t="shared" si="0"/>
        <v>3300000</v>
      </c>
      <c r="E18" s="74">
        <f t="shared" si="1"/>
        <v>3630000</v>
      </c>
      <c r="F18" s="74">
        <f t="shared" si="2"/>
        <v>4320000</v>
      </c>
      <c r="G18" s="74">
        <f t="shared" si="3"/>
        <v>4752000</v>
      </c>
      <c r="H18" s="74">
        <f t="shared" si="4"/>
        <v>5227000</v>
      </c>
      <c r="I18" s="75">
        <v>1142000</v>
      </c>
      <c r="J18" s="75">
        <v>1256000</v>
      </c>
    </row>
    <row r="19" spans="1:10" ht="19.899999999999999" customHeight="1">
      <c r="A19" s="76">
        <v>16</v>
      </c>
      <c r="B19" s="222" t="s">
        <v>114</v>
      </c>
      <c r="C19" s="217">
        <v>369656.10000000003</v>
      </c>
      <c r="D19" s="74">
        <f t="shared" si="0"/>
        <v>370000</v>
      </c>
      <c r="E19" s="74">
        <f t="shared" si="1"/>
        <v>407000</v>
      </c>
      <c r="F19" s="74">
        <f t="shared" si="2"/>
        <v>484000</v>
      </c>
      <c r="G19" s="74">
        <f t="shared" si="3"/>
        <v>533000</v>
      </c>
      <c r="H19" s="74">
        <f t="shared" si="4"/>
        <v>586000</v>
      </c>
      <c r="I19" s="75">
        <v>904000</v>
      </c>
      <c r="J19" s="75">
        <v>994000</v>
      </c>
    </row>
    <row r="20" spans="1:10" ht="19.899999999999999" customHeight="1">
      <c r="A20" s="76">
        <v>17</v>
      </c>
      <c r="B20" s="222" t="s">
        <v>74</v>
      </c>
      <c r="C20" s="217">
        <v>720556.10000000009</v>
      </c>
      <c r="D20" s="74">
        <f t="shared" si="0"/>
        <v>721000</v>
      </c>
      <c r="E20" s="74">
        <f t="shared" si="1"/>
        <v>793000</v>
      </c>
      <c r="F20" s="74">
        <f t="shared" si="2"/>
        <v>944000</v>
      </c>
      <c r="G20" s="74">
        <f t="shared" si="3"/>
        <v>1038000</v>
      </c>
      <c r="H20" s="74">
        <f t="shared" si="4"/>
        <v>1142000</v>
      </c>
      <c r="I20" s="75">
        <v>636000</v>
      </c>
      <c r="J20" s="75">
        <v>699000</v>
      </c>
    </row>
    <row r="21" spans="1:10" ht="19.899999999999999" customHeight="1">
      <c r="A21" s="76">
        <v>18</v>
      </c>
      <c r="B21" s="223" t="s">
        <v>1262</v>
      </c>
      <c r="C21" s="217">
        <v>518651</v>
      </c>
      <c r="D21" s="74">
        <f t="shared" si="0"/>
        <v>519000</v>
      </c>
      <c r="E21" s="74">
        <f t="shared" si="1"/>
        <v>571000</v>
      </c>
      <c r="F21" s="74">
        <f t="shared" si="2"/>
        <v>679000</v>
      </c>
      <c r="G21" s="74">
        <f t="shared" si="3"/>
        <v>747000</v>
      </c>
      <c r="H21" s="74">
        <f t="shared" si="4"/>
        <v>822000</v>
      </c>
      <c r="I21" s="75">
        <v>543000</v>
      </c>
      <c r="J21" s="75">
        <v>597000</v>
      </c>
    </row>
    <row r="22" spans="1:10" ht="19.899999999999999" customHeight="1">
      <c r="A22" s="76">
        <v>19</v>
      </c>
      <c r="B22" s="222" t="s">
        <v>99</v>
      </c>
      <c r="C22" s="217">
        <v>401116.10000000003</v>
      </c>
      <c r="D22" s="74">
        <f t="shared" si="0"/>
        <v>402000</v>
      </c>
      <c r="E22" s="74">
        <f t="shared" si="1"/>
        <v>442000</v>
      </c>
      <c r="F22" s="74">
        <f t="shared" si="2"/>
        <v>526000</v>
      </c>
      <c r="G22" s="74">
        <f t="shared" si="3"/>
        <v>578000</v>
      </c>
      <c r="H22" s="74">
        <f t="shared" si="4"/>
        <v>636000</v>
      </c>
      <c r="I22" s="75">
        <v>681000</v>
      </c>
      <c r="J22" s="75">
        <v>749000</v>
      </c>
    </row>
    <row r="23" spans="1:10" ht="19.899999999999999" customHeight="1">
      <c r="A23" s="76">
        <v>20</v>
      </c>
      <c r="B23" s="222" t="s">
        <v>100</v>
      </c>
      <c r="C23" s="217">
        <v>342430</v>
      </c>
      <c r="D23" s="74">
        <f t="shared" si="0"/>
        <v>343000</v>
      </c>
      <c r="E23" s="74">
        <f t="shared" si="1"/>
        <v>377000</v>
      </c>
      <c r="F23" s="74">
        <f t="shared" si="2"/>
        <v>449000</v>
      </c>
      <c r="G23" s="74">
        <f t="shared" si="3"/>
        <v>494000</v>
      </c>
      <c r="H23" s="74">
        <f t="shared" si="4"/>
        <v>543000</v>
      </c>
      <c r="I23" s="75">
        <v>1086000</v>
      </c>
      <c r="J23" s="75">
        <v>1195000</v>
      </c>
    </row>
    <row r="24" spans="1:10" ht="19.899999999999999" customHeight="1">
      <c r="A24" s="76">
        <v>21</v>
      </c>
      <c r="B24" s="222" t="s">
        <v>75</v>
      </c>
      <c r="C24" s="217">
        <v>429550.00000000006</v>
      </c>
      <c r="D24" s="74">
        <f t="shared" si="0"/>
        <v>430000</v>
      </c>
      <c r="E24" s="74">
        <f t="shared" si="1"/>
        <v>473000</v>
      </c>
      <c r="F24" s="74">
        <f t="shared" si="2"/>
        <v>563000</v>
      </c>
      <c r="G24" s="74">
        <f t="shared" si="3"/>
        <v>619000</v>
      </c>
      <c r="H24" s="74">
        <f t="shared" si="4"/>
        <v>681000</v>
      </c>
      <c r="I24" s="75">
        <v>771000</v>
      </c>
      <c r="J24" s="75">
        <v>848000</v>
      </c>
    </row>
    <row r="25" spans="1:10" ht="19.899999999999999" customHeight="1">
      <c r="A25" s="76">
        <v>22</v>
      </c>
      <c r="B25" s="222" t="s">
        <v>76</v>
      </c>
      <c r="C25" s="217">
        <v>685466.10000000009</v>
      </c>
      <c r="D25" s="74">
        <f t="shared" si="0"/>
        <v>686000</v>
      </c>
      <c r="E25" s="74">
        <f t="shared" si="1"/>
        <v>755000</v>
      </c>
      <c r="F25" s="74">
        <f t="shared" si="2"/>
        <v>898000</v>
      </c>
      <c r="G25" s="74">
        <f t="shared" si="3"/>
        <v>988000</v>
      </c>
      <c r="H25" s="74">
        <f t="shared" si="4"/>
        <v>1086000</v>
      </c>
      <c r="I25" s="75">
        <v>1269000</v>
      </c>
      <c r="J25" s="75">
        <v>1396000</v>
      </c>
    </row>
    <row r="26" spans="1:10" ht="19.899999999999999" customHeight="1">
      <c r="A26" s="76">
        <v>23</v>
      </c>
      <c r="B26" s="222" t="s">
        <v>77</v>
      </c>
      <c r="C26" s="217">
        <v>486420.00000000006</v>
      </c>
      <c r="D26" s="74">
        <f t="shared" si="0"/>
        <v>487000</v>
      </c>
      <c r="E26" s="74">
        <f t="shared" si="1"/>
        <v>536000</v>
      </c>
      <c r="F26" s="74">
        <f t="shared" si="2"/>
        <v>637000</v>
      </c>
      <c r="G26" s="74">
        <f t="shared" si="3"/>
        <v>701000</v>
      </c>
      <c r="H26" s="74">
        <f t="shared" si="4"/>
        <v>771000</v>
      </c>
      <c r="I26" s="75">
        <v>771000</v>
      </c>
      <c r="J26" s="75">
        <v>848000</v>
      </c>
    </row>
    <row r="27" spans="1:10" ht="19.899999999999999" customHeight="1">
      <c r="A27" s="76">
        <v>24</v>
      </c>
      <c r="B27" s="222" t="s">
        <v>78</v>
      </c>
      <c r="C27" s="217">
        <v>801020.00000000012</v>
      </c>
      <c r="D27" s="74">
        <f t="shared" si="0"/>
        <v>802000</v>
      </c>
      <c r="E27" s="74">
        <f t="shared" si="1"/>
        <v>882000</v>
      </c>
      <c r="F27" s="74">
        <f t="shared" si="2"/>
        <v>1049000</v>
      </c>
      <c r="G27" s="74">
        <f t="shared" si="3"/>
        <v>1154000</v>
      </c>
      <c r="H27" s="74">
        <f t="shared" si="4"/>
        <v>1269000</v>
      </c>
      <c r="I27" s="75">
        <v>1269000</v>
      </c>
      <c r="J27" s="75">
        <v>1396000</v>
      </c>
    </row>
    <row r="28" spans="1:10" ht="19.899999999999999" customHeight="1">
      <c r="A28" s="76">
        <v>25</v>
      </c>
      <c r="B28" s="222" t="s">
        <v>79</v>
      </c>
      <c r="C28" s="217">
        <v>486420.00000000006</v>
      </c>
      <c r="D28" s="74">
        <f t="shared" si="0"/>
        <v>487000</v>
      </c>
      <c r="E28" s="74">
        <f t="shared" si="1"/>
        <v>536000</v>
      </c>
      <c r="F28" s="74">
        <f t="shared" si="2"/>
        <v>637000</v>
      </c>
      <c r="G28" s="74">
        <f t="shared" si="3"/>
        <v>701000</v>
      </c>
      <c r="H28" s="74">
        <f t="shared" si="4"/>
        <v>771000</v>
      </c>
      <c r="I28" s="75">
        <v>681000</v>
      </c>
      <c r="J28" s="75">
        <v>749000</v>
      </c>
    </row>
    <row r="29" spans="1:10" ht="19.899999999999999" customHeight="1">
      <c r="A29" s="76">
        <v>26</v>
      </c>
      <c r="B29" s="222" t="s">
        <v>80</v>
      </c>
      <c r="C29" s="219">
        <v>801020.00000000012</v>
      </c>
      <c r="D29" s="74">
        <f t="shared" si="0"/>
        <v>802000</v>
      </c>
      <c r="E29" s="74">
        <f t="shared" si="1"/>
        <v>882000</v>
      </c>
      <c r="F29" s="74">
        <f t="shared" si="2"/>
        <v>1049000</v>
      </c>
      <c r="G29" s="74">
        <f t="shared" si="3"/>
        <v>1154000</v>
      </c>
      <c r="H29" s="74">
        <f t="shared" si="4"/>
        <v>1269000</v>
      </c>
      <c r="I29" s="75">
        <v>1085000</v>
      </c>
      <c r="J29" s="75">
        <v>1194000</v>
      </c>
    </row>
    <row r="30" spans="1:10" ht="19.899999999999999" customHeight="1">
      <c r="A30" s="76">
        <v>27</v>
      </c>
      <c r="B30" s="222" t="s">
        <v>63</v>
      </c>
      <c r="C30" s="219">
        <v>429550.00000000006</v>
      </c>
      <c r="D30" s="74">
        <f t="shared" si="0"/>
        <v>430000</v>
      </c>
      <c r="E30" s="74">
        <f t="shared" si="1"/>
        <v>473000</v>
      </c>
      <c r="F30" s="74">
        <f t="shared" si="2"/>
        <v>563000</v>
      </c>
      <c r="G30" s="74">
        <f t="shared" si="3"/>
        <v>619000</v>
      </c>
      <c r="H30" s="74">
        <f t="shared" si="4"/>
        <v>681000</v>
      </c>
      <c r="I30" s="75">
        <v>681000</v>
      </c>
      <c r="J30" s="75">
        <v>749000</v>
      </c>
    </row>
    <row r="31" spans="1:10" ht="19.899999999999999" customHeight="1">
      <c r="A31" s="76">
        <v>28</v>
      </c>
      <c r="B31" s="222" t="s">
        <v>115</v>
      </c>
      <c r="C31" s="217">
        <v>685466.10000000009</v>
      </c>
      <c r="D31" s="74">
        <f t="shared" si="0"/>
        <v>686000</v>
      </c>
      <c r="E31" s="74">
        <f t="shared" si="1"/>
        <v>755000</v>
      </c>
      <c r="F31" s="74">
        <f t="shared" si="2"/>
        <v>898000</v>
      </c>
      <c r="G31" s="74">
        <f t="shared" si="3"/>
        <v>988000</v>
      </c>
      <c r="H31" s="74">
        <f t="shared" si="4"/>
        <v>1086000</v>
      </c>
      <c r="I31" s="75">
        <v>246000</v>
      </c>
      <c r="J31" s="75">
        <v>270000</v>
      </c>
    </row>
    <row r="32" spans="1:10" ht="19.899999999999999" customHeight="1">
      <c r="A32" s="76">
        <v>29</v>
      </c>
      <c r="B32" s="222" t="s">
        <v>116</v>
      </c>
      <c r="C32" s="217">
        <v>429550.00000000006</v>
      </c>
      <c r="D32" s="74">
        <f t="shared" si="0"/>
        <v>430000</v>
      </c>
      <c r="E32" s="74">
        <f t="shared" si="1"/>
        <v>473000</v>
      </c>
      <c r="F32" s="74">
        <f t="shared" si="2"/>
        <v>563000</v>
      </c>
      <c r="G32" s="74">
        <f t="shared" si="3"/>
        <v>619000</v>
      </c>
      <c r="H32" s="74">
        <f t="shared" si="4"/>
        <v>681000</v>
      </c>
      <c r="I32" s="75">
        <v>814000</v>
      </c>
      <c r="J32" s="75">
        <v>895000</v>
      </c>
    </row>
    <row r="33" spans="1:10" ht="19.899999999999999" customHeight="1">
      <c r="A33" s="76">
        <v>30</v>
      </c>
      <c r="B33" s="222" t="s">
        <v>64</v>
      </c>
      <c r="C33" s="217">
        <v>154880</v>
      </c>
      <c r="D33" s="74">
        <f t="shared" si="0"/>
        <v>155000</v>
      </c>
      <c r="E33" s="74">
        <f t="shared" si="1"/>
        <v>171000</v>
      </c>
      <c r="F33" s="74">
        <f t="shared" si="2"/>
        <v>203000</v>
      </c>
      <c r="G33" s="74">
        <f t="shared" si="3"/>
        <v>224000</v>
      </c>
      <c r="H33" s="74">
        <f t="shared" si="4"/>
        <v>246000</v>
      </c>
      <c r="I33" s="75">
        <v>586000</v>
      </c>
      <c r="J33" s="75">
        <v>645000</v>
      </c>
    </row>
    <row r="34" spans="1:10" ht="19.899999999999999" customHeight="1">
      <c r="A34" s="76">
        <v>31</v>
      </c>
      <c r="B34" s="222" t="s">
        <v>101</v>
      </c>
      <c r="C34" s="219">
        <v>513646.10000000003</v>
      </c>
      <c r="D34" s="74">
        <f t="shared" si="0"/>
        <v>514000</v>
      </c>
      <c r="E34" s="74">
        <f t="shared" si="1"/>
        <v>566000</v>
      </c>
      <c r="F34" s="74">
        <f t="shared" si="2"/>
        <v>673000</v>
      </c>
      <c r="G34" s="74">
        <f t="shared" si="3"/>
        <v>740000</v>
      </c>
      <c r="H34" s="74">
        <f t="shared" si="4"/>
        <v>814000</v>
      </c>
      <c r="I34" s="75">
        <v>1003000</v>
      </c>
      <c r="J34" s="75">
        <v>1103000</v>
      </c>
    </row>
    <row r="35" spans="1:10" ht="19.899999999999999" customHeight="1">
      <c r="A35" s="76">
        <v>32</v>
      </c>
      <c r="B35" s="222" t="s">
        <v>102</v>
      </c>
      <c r="C35" s="219">
        <v>369656.10000000003</v>
      </c>
      <c r="D35" s="74">
        <f t="shared" si="0"/>
        <v>370000</v>
      </c>
      <c r="E35" s="74">
        <f t="shared" si="1"/>
        <v>407000</v>
      </c>
      <c r="F35" s="74">
        <f t="shared" si="2"/>
        <v>484000</v>
      </c>
      <c r="G35" s="74">
        <f t="shared" si="3"/>
        <v>533000</v>
      </c>
      <c r="H35" s="74">
        <f t="shared" si="4"/>
        <v>586000</v>
      </c>
      <c r="I35" s="75">
        <v>681000</v>
      </c>
      <c r="J35" s="75">
        <v>749000</v>
      </c>
    </row>
    <row r="36" spans="1:10" ht="19.899999999999999" customHeight="1">
      <c r="A36" s="76">
        <v>33</v>
      </c>
      <c r="B36" s="222" t="s">
        <v>117</v>
      </c>
      <c r="C36" s="217">
        <v>632830</v>
      </c>
      <c r="D36" s="74">
        <f t="shared" si="0"/>
        <v>633000</v>
      </c>
      <c r="E36" s="74">
        <f t="shared" si="1"/>
        <v>697000</v>
      </c>
      <c r="F36" s="74">
        <f t="shared" si="2"/>
        <v>829000</v>
      </c>
      <c r="G36" s="74">
        <f t="shared" si="3"/>
        <v>912000</v>
      </c>
      <c r="H36" s="74">
        <f t="shared" si="4"/>
        <v>1003000</v>
      </c>
      <c r="I36" s="75">
        <v>814000</v>
      </c>
      <c r="J36" s="75">
        <v>895000</v>
      </c>
    </row>
    <row r="37" spans="1:10" ht="19.899999999999999" customHeight="1">
      <c r="A37" s="76">
        <v>34</v>
      </c>
      <c r="B37" s="222" t="s">
        <v>118</v>
      </c>
      <c r="C37" s="217">
        <v>429550.00000000006</v>
      </c>
      <c r="D37" s="74">
        <f t="shared" si="0"/>
        <v>430000</v>
      </c>
      <c r="E37" s="74">
        <f t="shared" si="1"/>
        <v>473000</v>
      </c>
      <c r="F37" s="74">
        <f t="shared" si="2"/>
        <v>563000</v>
      </c>
      <c r="G37" s="74">
        <f t="shared" si="3"/>
        <v>619000</v>
      </c>
      <c r="H37" s="74">
        <f t="shared" si="4"/>
        <v>681000</v>
      </c>
      <c r="I37" s="75">
        <v>586000</v>
      </c>
      <c r="J37" s="75">
        <v>645000</v>
      </c>
    </row>
    <row r="38" spans="1:10" ht="19.899999999999999" customHeight="1">
      <c r="A38" s="76">
        <v>35</v>
      </c>
      <c r="B38" s="222" t="s">
        <v>87</v>
      </c>
      <c r="C38" s="217">
        <v>513646.10000000003</v>
      </c>
      <c r="D38" s="74">
        <f t="shared" si="0"/>
        <v>514000</v>
      </c>
      <c r="E38" s="74">
        <f t="shared" si="1"/>
        <v>566000</v>
      </c>
      <c r="F38" s="74">
        <f t="shared" si="2"/>
        <v>673000</v>
      </c>
      <c r="G38" s="74">
        <f t="shared" si="3"/>
        <v>740000</v>
      </c>
      <c r="H38" s="74">
        <f t="shared" si="4"/>
        <v>814000</v>
      </c>
      <c r="I38" s="75">
        <v>3073000</v>
      </c>
      <c r="J38" s="75">
        <v>3380000</v>
      </c>
    </row>
    <row r="39" spans="1:10" ht="19.899999999999999" customHeight="1">
      <c r="A39" s="76">
        <v>36</v>
      </c>
      <c r="B39" s="222" t="s">
        <v>88</v>
      </c>
      <c r="C39" s="217">
        <v>369656.10000000003</v>
      </c>
      <c r="D39" s="74">
        <f t="shared" si="0"/>
        <v>370000</v>
      </c>
      <c r="E39" s="74">
        <f t="shared" si="1"/>
        <v>407000</v>
      </c>
      <c r="F39" s="74">
        <f t="shared" si="2"/>
        <v>484000</v>
      </c>
      <c r="G39" s="74">
        <f t="shared" si="3"/>
        <v>533000</v>
      </c>
      <c r="H39" s="74">
        <f t="shared" si="4"/>
        <v>586000</v>
      </c>
      <c r="I39" s="75">
        <v>907000</v>
      </c>
      <c r="J39" s="75">
        <v>998000</v>
      </c>
    </row>
    <row r="40" spans="1:10" ht="19.899999999999999" customHeight="1">
      <c r="A40" s="76">
        <v>37</v>
      </c>
      <c r="B40" s="222" t="s">
        <v>124</v>
      </c>
      <c r="C40" s="217">
        <v>1939630.0000000002</v>
      </c>
      <c r="D40" s="74">
        <f t="shared" si="0"/>
        <v>1940000</v>
      </c>
      <c r="E40" s="74">
        <f t="shared" si="1"/>
        <v>2134000</v>
      </c>
      <c r="F40" s="74">
        <f t="shared" si="2"/>
        <v>2539000</v>
      </c>
      <c r="G40" s="74">
        <f t="shared" si="3"/>
        <v>2793000</v>
      </c>
      <c r="H40" s="74">
        <f t="shared" si="4"/>
        <v>3073000</v>
      </c>
      <c r="I40" s="75">
        <v>586000</v>
      </c>
      <c r="J40" s="75">
        <v>645000</v>
      </c>
    </row>
    <row r="41" spans="1:10" ht="19.899999999999999" customHeight="1">
      <c r="A41" s="76">
        <v>40</v>
      </c>
      <c r="B41" s="222" t="s">
        <v>103</v>
      </c>
      <c r="C41" s="219">
        <v>572330</v>
      </c>
      <c r="D41" s="74">
        <f t="shared" si="0"/>
        <v>573000</v>
      </c>
      <c r="E41" s="74">
        <f t="shared" si="1"/>
        <v>630000</v>
      </c>
      <c r="F41" s="74">
        <f t="shared" si="2"/>
        <v>750000</v>
      </c>
      <c r="G41" s="74">
        <f t="shared" si="3"/>
        <v>825000</v>
      </c>
      <c r="H41" s="74">
        <f t="shared" si="4"/>
        <v>907000</v>
      </c>
      <c r="I41" s="75">
        <v>586000</v>
      </c>
      <c r="J41" s="75">
        <v>645000</v>
      </c>
    </row>
    <row r="42" spans="1:10" ht="19.899999999999999" customHeight="1">
      <c r="A42" s="76">
        <v>41</v>
      </c>
      <c r="B42" s="222" t="s">
        <v>104</v>
      </c>
      <c r="C42" s="219">
        <v>369656.10000000003</v>
      </c>
      <c r="D42" s="74">
        <f t="shared" si="0"/>
        <v>370000</v>
      </c>
      <c r="E42" s="74">
        <f t="shared" si="1"/>
        <v>407000</v>
      </c>
      <c r="F42" s="74">
        <f t="shared" si="2"/>
        <v>484000</v>
      </c>
      <c r="G42" s="74">
        <f t="shared" si="3"/>
        <v>533000</v>
      </c>
      <c r="H42" s="74">
        <f t="shared" si="4"/>
        <v>586000</v>
      </c>
      <c r="I42" s="75">
        <v>1194000</v>
      </c>
      <c r="J42" s="75">
        <v>1314000</v>
      </c>
    </row>
    <row r="43" spans="1:10" ht="19.899999999999999" customHeight="1">
      <c r="A43" s="76">
        <v>42</v>
      </c>
      <c r="B43" s="222" t="s">
        <v>119</v>
      </c>
      <c r="C43" s="217">
        <v>513646.10000000003</v>
      </c>
      <c r="D43" s="74">
        <f t="shared" si="0"/>
        <v>514000</v>
      </c>
      <c r="E43" s="74">
        <f t="shared" si="1"/>
        <v>566000</v>
      </c>
      <c r="F43" s="74">
        <f t="shared" si="2"/>
        <v>673000</v>
      </c>
      <c r="G43" s="74">
        <f t="shared" si="3"/>
        <v>740000</v>
      </c>
      <c r="H43" s="74">
        <f t="shared" si="4"/>
        <v>814000</v>
      </c>
      <c r="I43" s="75">
        <v>1797000</v>
      </c>
      <c r="J43" s="75">
        <v>1977000</v>
      </c>
    </row>
    <row r="44" spans="1:10" ht="19.899999999999999" customHeight="1">
      <c r="A44" s="76">
        <v>43</v>
      </c>
      <c r="B44" s="222" t="s">
        <v>120</v>
      </c>
      <c r="C44" s="217">
        <v>369656.10000000003</v>
      </c>
      <c r="D44" s="74">
        <f t="shared" si="0"/>
        <v>370000</v>
      </c>
      <c r="E44" s="74">
        <f t="shared" si="1"/>
        <v>407000</v>
      </c>
      <c r="F44" s="74">
        <f t="shared" si="2"/>
        <v>484000</v>
      </c>
      <c r="G44" s="74">
        <f t="shared" si="3"/>
        <v>533000</v>
      </c>
      <c r="H44" s="74">
        <f t="shared" si="4"/>
        <v>586000</v>
      </c>
      <c r="I44" s="75">
        <v>1364000</v>
      </c>
      <c r="J44" s="75">
        <v>1500000</v>
      </c>
    </row>
    <row r="45" spans="1:10" ht="19.899999999999999" customHeight="1">
      <c r="A45" s="76">
        <v>44</v>
      </c>
      <c r="B45" s="222" t="s">
        <v>1263</v>
      </c>
      <c r="C45" s="217">
        <v>2173600</v>
      </c>
      <c r="D45" s="74">
        <f t="shared" si="0"/>
        <v>2174000</v>
      </c>
      <c r="E45" s="74">
        <f t="shared" si="1"/>
        <v>2391000</v>
      </c>
      <c r="F45" s="74">
        <f t="shared" si="2"/>
        <v>2846000</v>
      </c>
      <c r="G45" s="74">
        <f t="shared" si="3"/>
        <v>3130000</v>
      </c>
      <c r="H45" s="74">
        <f t="shared" si="4"/>
        <v>3443000</v>
      </c>
      <c r="I45" s="75"/>
      <c r="J45" s="75"/>
    </row>
    <row r="46" spans="1:10" ht="19.899999999999999" customHeight="1">
      <c r="A46" s="76">
        <v>45</v>
      </c>
      <c r="B46" s="222" t="s">
        <v>1264</v>
      </c>
      <c r="C46" s="217">
        <v>1937254.0000000002</v>
      </c>
      <c r="D46" s="74">
        <f t="shared" si="0"/>
        <v>1938000</v>
      </c>
      <c r="E46" s="74">
        <f t="shared" si="1"/>
        <v>2131000</v>
      </c>
      <c r="F46" s="74">
        <f t="shared" si="2"/>
        <v>2536000</v>
      </c>
      <c r="G46" s="74">
        <f t="shared" si="3"/>
        <v>2790000</v>
      </c>
      <c r="H46" s="74">
        <f t="shared" si="4"/>
        <v>3069000</v>
      </c>
      <c r="I46" s="75">
        <v>514000</v>
      </c>
      <c r="J46" s="75">
        <v>565000</v>
      </c>
    </row>
    <row r="47" spans="1:10" ht="19.899999999999999" customHeight="1">
      <c r="A47" s="76">
        <v>46</v>
      </c>
      <c r="B47" s="222" t="s">
        <v>81</v>
      </c>
      <c r="C47" s="217">
        <v>753830.00000000012</v>
      </c>
      <c r="D47" s="74">
        <f t="shared" si="0"/>
        <v>754000</v>
      </c>
      <c r="E47" s="74">
        <f t="shared" si="1"/>
        <v>830000</v>
      </c>
      <c r="F47" s="74">
        <f t="shared" si="2"/>
        <v>987000</v>
      </c>
      <c r="G47" s="74">
        <f t="shared" si="3"/>
        <v>1086000</v>
      </c>
      <c r="H47" s="74">
        <f t="shared" si="4"/>
        <v>1194000</v>
      </c>
      <c r="I47" s="75">
        <v>814000</v>
      </c>
      <c r="J47" s="75">
        <v>895000</v>
      </c>
    </row>
    <row r="48" spans="1:10" ht="19.899999999999999" customHeight="1">
      <c r="A48" s="76">
        <v>47</v>
      </c>
      <c r="B48" s="222" t="s">
        <v>82</v>
      </c>
      <c r="C48" s="217">
        <v>1134376.1000000001</v>
      </c>
      <c r="D48" s="74">
        <f t="shared" si="0"/>
        <v>1135000</v>
      </c>
      <c r="E48" s="74">
        <f t="shared" si="1"/>
        <v>1248000</v>
      </c>
      <c r="F48" s="74">
        <f t="shared" si="2"/>
        <v>1485000</v>
      </c>
      <c r="G48" s="74">
        <f t="shared" si="3"/>
        <v>1634000</v>
      </c>
      <c r="H48" s="74">
        <f t="shared" si="4"/>
        <v>1797000</v>
      </c>
      <c r="I48" s="75">
        <v>586000</v>
      </c>
      <c r="J48" s="75">
        <v>645000</v>
      </c>
    </row>
    <row r="49" spans="1:10" ht="19.899999999999999" customHeight="1">
      <c r="A49" s="76">
        <v>48</v>
      </c>
      <c r="B49" s="222" t="s">
        <v>65</v>
      </c>
      <c r="C49" s="217">
        <v>324280</v>
      </c>
      <c r="D49" s="74">
        <f t="shared" si="0"/>
        <v>325000</v>
      </c>
      <c r="E49" s="74">
        <f t="shared" si="1"/>
        <v>357000</v>
      </c>
      <c r="F49" s="74">
        <f t="shared" si="2"/>
        <v>425000</v>
      </c>
      <c r="G49" s="74">
        <f t="shared" si="3"/>
        <v>467000</v>
      </c>
      <c r="H49" s="74">
        <f t="shared" si="4"/>
        <v>514000</v>
      </c>
      <c r="I49" s="75">
        <v>681000</v>
      </c>
      <c r="J49" s="75">
        <v>749000</v>
      </c>
    </row>
    <row r="50" spans="1:10" ht="19.899999999999999" customHeight="1">
      <c r="A50" s="76">
        <v>49</v>
      </c>
      <c r="B50" s="222" t="s">
        <v>105</v>
      </c>
      <c r="C50" s="217">
        <v>513646.10000000003</v>
      </c>
      <c r="D50" s="74">
        <f t="shared" si="0"/>
        <v>514000</v>
      </c>
      <c r="E50" s="74">
        <f t="shared" si="1"/>
        <v>566000</v>
      </c>
      <c r="F50" s="74">
        <f t="shared" si="2"/>
        <v>673000</v>
      </c>
      <c r="G50" s="74">
        <f t="shared" si="3"/>
        <v>740000</v>
      </c>
      <c r="H50" s="74">
        <f t="shared" si="4"/>
        <v>814000</v>
      </c>
      <c r="I50" s="75">
        <v>543000</v>
      </c>
      <c r="J50" s="75">
        <v>597000</v>
      </c>
    </row>
    <row r="51" spans="1:10" ht="19.899999999999999" customHeight="1">
      <c r="A51" s="76">
        <v>50</v>
      </c>
      <c r="B51" s="222" t="s">
        <v>106</v>
      </c>
      <c r="C51" s="217">
        <v>369656.10000000003</v>
      </c>
      <c r="D51" s="74">
        <f t="shared" si="0"/>
        <v>370000</v>
      </c>
      <c r="E51" s="74">
        <f t="shared" si="1"/>
        <v>407000</v>
      </c>
      <c r="F51" s="74">
        <f t="shared" si="2"/>
        <v>484000</v>
      </c>
      <c r="G51" s="74">
        <f t="shared" si="3"/>
        <v>533000</v>
      </c>
      <c r="H51" s="74">
        <f t="shared" si="4"/>
        <v>586000</v>
      </c>
      <c r="I51" s="75">
        <v>543000</v>
      </c>
      <c r="J51" s="75">
        <v>597000</v>
      </c>
    </row>
    <row r="52" spans="1:10" ht="19.899999999999999" customHeight="1">
      <c r="A52" s="76">
        <v>51</v>
      </c>
      <c r="B52" s="222" t="s">
        <v>66</v>
      </c>
      <c r="C52" s="217">
        <v>429550.00000000006</v>
      </c>
      <c r="D52" s="74">
        <f t="shared" si="0"/>
        <v>430000</v>
      </c>
      <c r="E52" s="74">
        <f t="shared" si="1"/>
        <v>473000</v>
      </c>
      <c r="F52" s="74">
        <f t="shared" si="2"/>
        <v>563000</v>
      </c>
      <c r="G52" s="74">
        <f t="shared" si="3"/>
        <v>619000</v>
      </c>
      <c r="H52" s="74">
        <f t="shared" si="4"/>
        <v>681000</v>
      </c>
      <c r="I52" s="75">
        <v>814000</v>
      </c>
      <c r="J52" s="75">
        <v>895000</v>
      </c>
    </row>
    <row r="53" spans="1:10" ht="19.899999999999999" customHeight="1">
      <c r="A53" s="76">
        <v>52</v>
      </c>
      <c r="B53" s="222" t="s">
        <v>67</v>
      </c>
      <c r="C53" s="217">
        <v>342430</v>
      </c>
      <c r="D53" s="74">
        <f t="shared" si="0"/>
        <v>343000</v>
      </c>
      <c r="E53" s="74">
        <f t="shared" si="1"/>
        <v>377000</v>
      </c>
      <c r="F53" s="74">
        <f t="shared" si="2"/>
        <v>449000</v>
      </c>
      <c r="G53" s="74">
        <f t="shared" si="3"/>
        <v>494000</v>
      </c>
      <c r="H53" s="74">
        <f t="shared" si="4"/>
        <v>543000</v>
      </c>
      <c r="I53" s="75">
        <v>862000</v>
      </c>
      <c r="J53" s="75">
        <v>948000</v>
      </c>
    </row>
    <row r="54" spans="1:10" ht="19.899999999999999" customHeight="1">
      <c r="A54" s="76">
        <v>53</v>
      </c>
      <c r="B54" s="222" t="s">
        <v>68</v>
      </c>
      <c r="C54" s="219">
        <v>342430</v>
      </c>
      <c r="D54" s="74">
        <f t="shared" si="0"/>
        <v>343000</v>
      </c>
      <c r="E54" s="74">
        <f t="shared" si="1"/>
        <v>377000</v>
      </c>
      <c r="F54" s="74">
        <f t="shared" si="2"/>
        <v>449000</v>
      </c>
      <c r="G54" s="74">
        <f t="shared" si="3"/>
        <v>494000</v>
      </c>
      <c r="H54" s="74">
        <f t="shared" si="4"/>
        <v>543000</v>
      </c>
      <c r="I54" s="75">
        <v>814000</v>
      </c>
      <c r="J54" s="75">
        <v>895000</v>
      </c>
    </row>
    <row r="55" spans="1:10" ht="19.899999999999999" customHeight="1">
      <c r="A55" s="76">
        <v>54</v>
      </c>
      <c r="B55" s="222" t="s">
        <v>83</v>
      </c>
      <c r="C55" s="219">
        <v>513646.10000000003</v>
      </c>
      <c r="D55" s="74">
        <f t="shared" si="0"/>
        <v>514000</v>
      </c>
      <c r="E55" s="74">
        <f t="shared" si="1"/>
        <v>566000</v>
      </c>
      <c r="F55" s="74">
        <f t="shared" si="2"/>
        <v>673000</v>
      </c>
      <c r="G55" s="74">
        <f t="shared" si="3"/>
        <v>740000</v>
      </c>
      <c r="H55" s="74">
        <f t="shared" si="4"/>
        <v>814000</v>
      </c>
      <c r="I55" s="75">
        <v>586000</v>
      </c>
      <c r="J55" s="75">
        <v>645000</v>
      </c>
    </row>
    <row r="56" spans="1:10" ht="19.899999999999999" customHeight="1">
      <c r="A56" s="76">
        <v>55</v>
      </c>
      <c r="B56" s="223" t="s">
        <v>69</v>
      </c>
      <c r="C56" s="217">
        <v>494451</v>
      </c>
      <c r="D56" s="74">
        <f t="shared" si="0"/>
        <v>495000</v>
      </c>
      <c r="E56" s="74">
        <f t="shared" si="1"/>
        <v>544000</v>
      </c>
      <c r="F56" s="74">
        <f t="shared" si="2"/>
        <v>648000</v>
      </c>
      <c r="G56" s="74">
        <f t="shared" si="3"/>
        <v>712000</v>
      </c>
      <c r="H56" s="74">
        <f t="shared" si="4"/>
        <v>784000</v>
      </c>
      <c r="I56" s="75">
        <v>543000</v>
      </c>
      <c r="J56" s="75">
        <v>597000</v>
      </c>
    </row>
    <row r="57" spans="1:10" ht="19.899999999999999" customHeight="1">
      <c r="A57" s="76">
        <v>56</v>
      </c>
      <c r="B57" s="222" t="s">
        <v>121</v>
      </c>
      <c r="C57" s="217">
        <v>513646.10000000003</v>
      </c>
      <c r="D57" s="74">
        <f t="shared" si="0"/>
        <v>514000</v>
      </c>
      <c r="E57" s="74">
        <f t="shared" si="1"/>
        <v>566000</v>
      </c>
      <c r="F57" s="74">
        <f t="shared" si="2"/>
        <v>673000</v>
      </c>
      <c r="G57" s="74">
        <f t="shared" si="3"/>
        <v>740000</v>
      </c>
      <c r="H57" s="74">
        <f t="shared" si="4"/>
        <v>814000</v>
      </c>
      <c r="I57" s="75">
        <v>1239000</v>
      </c>
      <c r="J57" s="75">
        <v>1362000</v>
      </c>
    </row>
    <row r="58" spans="1:10" ht="19.899999999999999" customHeight="1">
      <c r="A58" s="76">
        <v>57</v>
      </c>
      <c r="B58" s="222" t="s">
        <v>122</v>
      </c>
      <c r="C58" s="217">
        <v>369656.10000000003</v>
      </c>
      <c r="D58" s="74">
        <f t="shared" si="0"/>
        <v>370000</v>
      </c>
      <c r="E58" s="74">
        <f t="shared" si="1"/>
        <v>407000</v>
      </c>
      <c r="F58" s="74">
        <f t="shared" si="2"/>
        <v>484000</v>
      </c>
      <c r="G58" s="74">
        <f t="shared" si="3"/>
        <v>533000</v>
      </c>
      <c r="H58" s="74">
        <f t="shared" si="4"/>
        <v>586000</v>
      </c>
      <c r="I58" s="75">
        <v>543000</v>
      </c>
      <c r="J58" s="75">
        <v>597000</v>
      </c>
    </row>
    <row r="59" spans="1:10" ht="19.899999999999999" customHeight="1">
      <c r="A59" s="76">
        <v>58</v>
      </c>
      <c r="B59" s="222" t="s">
        <v>85</v>
      </c>
      <c r="C59" s="217">
        <v>342430</v>
      </c>
      <c r="D59" s="74">
        <f t="shared" si="0"/>
        <v>343000</v>
      </c>
      <c r="E59" s="74">
        <f t="shared" si="1"/>
        <v>377000</v>
      </c>
      <c r="F59" s="74">
        <f t="shared" si="2"/>
        <v>449000</v>
      </c>
      <c r="G59" s="74">
        <f t="shared" si="3"/>
        <v>494000</v>
      </c>
      <c r="H59" s="74">
        <f t="shared" si="4"/>
        <v>543000</v>
      </c>
      <c r="I59" s="75">
        <v>814000</v>
      </c>
      <c r="J59" s="75">
        <v>895000</v>
      </c>
    </row>
    <row r="60" spans="1:10" ht="19.899999999999999" customHeight="1">
      <c r="A60" s="76">
        <v>59</v>
      </c>
      <c r="B60" s="222" t="s">
        <v>84</v>
      </c>
      <c r="C60" s="217">
        <v>781660.00000000012</v>
      </c>
      <c r="D60" s="74">
        <f t="shared" si="0"/>
        <v>782000</v>
      </c>
      <c r="E60" s="74">
        <f t="shared" si="1"/>
        <v>860000</v>
      </c>
      <c r="F60" s="74">
        <f t="shared" si="2"/>
        <v>1024000</v>
      </c>
      <c r="G60" s="74">
        <f t="shared" si="3"/>
        <v>1126000</v>
      </c>
      <c r="H60" s="74">
        <f t="shared" si="4"/>
        <v>1239000</v>
      </c>
      <c r="I60" s="75">
        <v>586000</v>
      </c>
      <c r="J60" s="75">
        <v>645000</v>
      </c>
    </row>
    <row r="61" spans="1:10" ht="19.899999999999999" customHeight="1">
      <c r="A61" s="76">
        <v>60</v>
      </c>
      <c r="B61" s="222" t="s">
        <v>107</v>
      </c>
      <c r="C61" s="217">
        <v>342430</v>
      </c>
      <c r="D61" s="74">
        <f t="shared" si="0"/>
        <v>343000</v>
      </c>
      <c r="E61" s="74">
        <f t="shared" si="1"/>
        <v>377000</v>
      </c>
      <c r="F61" s="74">
        <f t="shared" si="2"/>
        <v>449000</v>
      </c>
      <c r="G61" s="74">
        <f t="shared" si="3"/>
        <v>494000</v>
      </c>
      <c r="H61" s="74">
        <f t="shared" si="4"/>
        <v>543000</v>
      </c>
      <c r="I61" s="75">
        <v>1029000</v>
      </c>
      <c r="J61" s="75">
        <v>1132000</v>
      </c>
    </row>
    <row r="62" spans="1:10" ht="19.899999999999999" customHeight="1">
      <c r="A62" s="76">
        <v>61</v>
      </c>
      <c r="B62" s="222" t="s">
        <v>108</v>
      </c>
      <c r="C62" s="217">
        <v>513646.10000000003</v>
      </c>
      <c r="D62" s="74">
        <f t="shared" si="0"/>
        <v>514000</v>
      </c>
      <c r="E62" s="74">
        <f t="shared" si="1"/>
        <v>566000</v>
      </c>
      <c r="F62" s="74">
        <f t="shared" si="2"/>
        <v>673000</v>
      </c>
      <c r="G62" s="74">
        <f t="shared" si="3"/>
        <v>740000</v>
      </c>
      <c r="H62" s="74">
        <f t="shared" si="4"/>
        <v>814000</v>
      </c>
      <c r="I62" s="75">
        <v>907000</v>
      </c>
      <c r="J62" s="75">
        <v>998000</v>
      </c>
    </row>
    <row r="63" spans="1:10" ht="19.899999999999999" customHeight="1">
      <c r="A63" s="76">
        <v>62</v>
      </c>
      <c r="B63" s="222" t="s">
        <v>109</v>
      </c>
      <c r="C63" s="217">
        <v>369656.10000000003</v>
      </c>
      <c r="D63" s="74">
        <f t="shared" si="0"/>
        <v>370000</v>
      </c>
      <c r="E63" s="74">
        <f t="shared" si="1"/>
        <v>407000</v>
      </c>
      <c r="F63" s="74">
        <f t="shared" si="2"/>
        <v>484000</v>
      </c>
      <c r="G63" s="74">
        <f t="shared" si="3"/>
        <v>533000</v>
      </c>
      <c r="H63" s="74">
        <f t="shared" si="4"/>
        <v>586000</v>
      </c>
      <c r="I63" s="75">
        <v>1317000</v>
      </c>
      <c r="J63" s="75">
        <v>1449000</v>
      </c>
    </row>
    <row r="64" spans="1:10" ht="19.899999999999999" customHeight="1">
      <c r="A64" s="76">
        <v>63</v>
      </c>
      <c r="B64" s="222" t="s">
        <v>70</v>
      </c>
      <c r="C64" s="217">
        <v>649166.10000000009</v>
      </c>
      <c r="D64" s="74">
        <f t="shared" si="0"/>
        <v>650000</v>
      </c>
      <c r="E64" s="74">
        <f t="shared" si="1"/>
        <v>715000</v>
      </c>
      <c r="F64" s="74">
        <f t="shared" si="2"/>
        <v>850000</v>
      </c>
      <c r="G64" s="74">
        <f t="shared" si="3"/>
        <v>935000</v>
      </c>
      <c r="H64" s="74">
        <f t="shared" si="4"/>
        <v>1029000</v>
      </c>
      <c r="I64" s="75">
        <v>1194000</v>
      </c>
      <c r="J64" s="75">
        <v>1314000</v>
      </c>
    </row>
    <row r="65" spans="1:10" ht="19.899999999999999" customHeight="1">
      <c r="A65" s="76">
        <v>64</v>
      </c>
      <c r="B65" s="222" t="s">
        <v>71</v>
      </c>
      <c r="C65" s="217">
        <v>572330</v>
      </c>
      <c r="D65" s="74">
        <f t="shared" si="0"/>
        <v>573000</v>
      </c>
      <c r="E65" s="74">
        <f t="shared" si="1"/>
        <v>630000</v>
      </c>
      <c r="F65" s="74">
        <f t="shared" si="2"/>
        <v>750000</v>
      </c>
      <c r="G65" s="74">
        <f t="shared" si="3"/>
        <v>825000</v>
      </c>
      <c r="H65" s="74">
        <f t="shared" si="4"/>
        <v>907000</v>
      </c>
      <c r="I65" s="75">
        <v>701000</v>
      </c>
      <c r="J65" s="75">
        <v>771000</v>
      </c>
    </row>
    <row r="66" spans="1:10" ht="19.899999999999999" customHeight="1">
      <c r="A66" s="76">
        <v>65</v>
      </c>
      <c r="B66" s="222" t="s">
        <v>72</v>
      </c>
      <c r="C66" s="217">
        <v>686676.10000000009</v>
      </c>
      <c r="D66" s="74">
        <f t="shared" si="0"/>
        <v>687000</v>
      </c>
      <c r="E66" s="74">
        <f t="shared" si="1"/>
        <v>756000</v>
      </c>
      <c r="F66" s="74">
        <f t="shared" si="2"/>
        <v>899000</v>
      </c>
      <c r="G66" s="74">
        <f t="shared" si="3"/>
        <v>989000</v>
      </c>
      <c r="H66" s="74">
        <f t="shared" si="4"/>
        <v>1088000</v>
      </c>
      <c r="I66" s="75">
        <v>483000</v>
      </c>
      <c r="J66" s="75">
        <v>532000</v>
      </c>
    </row>
    <row r="67" spans="1:10" ht="19.899999999999999" customHeight="1">
      <c r="A67" s="76">
        <v>66</v>
      </c>
      <c r="B67" s="222" t="s">
        <v>86</v>
      </c>
      <c r="C67" s="217">
        <v>753830.00000000012</v>
      </c>
      <c r="D67" s="74">
        <f t="shared" si="0"/>
        <v>754000</v>
      </c>
      <c r="E67" s="74">
        <f t="shared" si="1"/>
        <v>830000</v>
      </c>
      <c r="F67" s="74">
        <f t="shared" si="2"/>
        <v>987000</v>
      </c>
      <c r="G67" s="74">
        <f t="shared" si="3"/>
        <v>1086000</v>
      </c>
      <c r="H67" s="74">
        <f t="shared" si="4"/>
        <v>1194000</v>
      </c>
      <c r="I67" s="113">
        <v>707000</v>
      </c>
      <c r="J67" s="75">
        <v>777000</v>
      </c>
    </row>
    <row r="68" spans="1:10" ht="19.899999999999999" customHeight="1">
      <c r="A68" s="76">
        <v>67</v>
      </c>
      <c r="B68" s="222" t="s">
        <v>93</v>
      </c>
      <c r="C68" s="217">
        <v>442256.10000000003</v>
      </c>
      <c r="D68" s="74">
        <f t="shared" si="0"/>
        <v>443000</v>
      </c>
      <c r="E68" s="74">
        <f t="shared" si="1"/>
        <v>487000</v>
      </c>
      <c r="F68" s="74">
        <f t="shared" si="2"/>
        <v>579000</v>
      </c>
      <c r="G68" s="74">
        <f t="shared" si="3"/>
        <v>637000</v>
      </c>
      <c r="H68" s="74">
        <f t="shared" si="4"/>
        <v>701000</v>
      </c>
      <c r="I68" s="113">
        <v>814000</v>
      </c>
      <c r="J68" s="75">
        <v>895000</v>
      </c>
    </row>
    <row r="69" spans="1:10" ht="19.899999999999999" customHeight="1">
      <c r="A69" s="76">
        <v>68</v>
      </c>
      <c r="B69" s="223" t="s">
        <v>94</v>
      </c>
      <c r="C69" s="217">
        <f>277200*1.15</f>
        <v>318780</v>
      </c>
      <c r="D69" s="74">
        <f>ROUNDUP(C69,-3)</f>
        <v>319000</v>
      </c>
      <c r="E69" s="74">
        <f t="shared" si="1"/>
        <v>351000</v>
      </c>
      <c r="F69" s="74">
        <f t="shared" si="2"/>
        <v>418000</v>
      </c>
      <c r="G69" s="74">
        <f t="shared" si="3"/>
        <v>460000</v>
      </c>
      <c r="H69" s="74">
        <f t="shared" si="4"/>
        <v>505000</v>
      </c>
      <c r="I69" s="220">
        <v>586000</v>
      </c>
      <c r="J69" s="103">
        <v>645000</v>
      </c>
    </row>
    <row r="70" spans="1:10" ht="19.899999999999999" customHeight="1">
      <c r="A70" s="76">
        <v>69</v>
      </c>
      <c r="B70" s="222" t="s">
        <v>73</v>
      </c>
      <c r="C70" s="217">
        <v>445886.10000000003</v>
      </c>
      <c r="D70" s="74">
        <f t="shared" si="0"/>
        <v>446000</v>
      </c>
      <c r="E70" s="74">
        <f t="shared" si="1"/>
        <v>491000</v>
      </c>
      <c r="F70" s="74">
        <f t="shared" si="2"/>
        <v>584000</v>
      </c>
      <c r="G70" s="74">
        <f t="shared" si="3"/>
        <v>643000</v>
      </c>
      <c r="H70" s="74">
        <f t="shared" si="4"/>
        <v>707000</v>
      </c>
      <c r="I70" s="72"/>
      <c r="J70" s="72"/>
    </row>
    <row r="71" spans="1:10" ht="19.899999999999999" customHeight="1">
      <c r="A71" s="76">
        <v>70</v>
      </c>
      <c r="B71" s="223" t="s">
        <v>1265</v>
      </c>
      <c r="C71" s="217">
        <v>2058000</v>
      </c>
      <c r="D71" s="74">
        <f t="shared" ref="D71:D73" si="5">ROUNDUP(C71,-3)</f>
        <v>2058000</v>
      </c>
      <c r="E71" s="74">
        <f t="shared" ref="E71:E73" si="6">ROUNDUP($C71*1.1,-3)</f>
        <v>2264000</v>
      </c>
      <c r="F71" s="74">
        <f t="shared" ref="F71:F73" si="7">ROUNDUP($C71*1.1*1.19,-3)</f>
        <v>2694000</v>
      </c>
      <c r="G71" s="74">
        <f t="shared" ref="G71:G73" si="8">ROUNDUP($C71*1.1*1.19*1.1,-3)</f>
        <v>2964000</v>
      </c>
      <c r="H71" s="74">
        <f t="shared" ref="H71:H73" si="9">ROUNDUP($C71*1.1*1.19*1.1*1.1,-3)</f>
        <v>3260000</v>
      </c>
      <c r="I71" s="72"/>
      <c r="J71" s="72"/>
    </row>
    <row r="72" spans="1:10" ht="19.899999999999999" customHeight="1">
      <c r="A72" s="76">
        <v>71</v>
      </c>
      <c r="B72" s="222" t="s">
        <v>110</v>
      </c>
      <c r="C72" s="217">
        <v>513646.10000000003</v>
      </c>
      <c r="D72" s="74">
        <f t="shared" si="5"/>
        <v>514000</v>
      </c>
      <c r="E72" s="74">
        <f t="shared" si="6"/>
        <v>566000</v>
      </c>
      <c r="F72" s="74">
        <f t="shared" si="7"/>
        <v>673000</v>
      </c>
      <c r="G72" s="74">
        <f t="shared" si="8"/>
        <v>740000</v>
      </c>
      <c r="H72" s="74">
        <f t="shared" si="9"/>
        <v>814000</v>
      </c>
      <c r="I72" s="72"/>
      <c r="J72" s="72"/>
    </row>
    <row r="73" spans="1:10" ht="19.899999999999999" customHeight="1">
      <c r="A73" s="76">
        <v>72</v>
      </c>
      <c r="B73" s="2" t="s">
        <v>111</v>
      </c>
      <c r="C73" s="217">
        <v>369656.10000000003</v>
      </c>
      <c r="D73" s="74">
        <f t="shared" si="5"/>
        <v>370000</v>
      </c>
      <c r="E73" s="74">
        <f t="shared" si="6"/>
        <v>407000</v>
      </c>
      <c r="F73" s="74">
        <f t="shared" si="7"/>
        <v>484000</v>
      </c>
      <c r="G73" s="74">
        <f t="shared" si="8"/>
        <v>533000</v>
      </c>
      <c r="H73" s="74">
        <f t="shared" si="9"/>
        <v>586000</v>
      </c>
      <c r="I73" s="72"/>
      <c r="J73" s="72"/>
    </row>
    <row r="74" spans="1:10" ht="19.899999999999999" customHeight="1">
      <c r="A74" s="166"/>
      <c r="B74" s="9"/>
      <c r="C74" s="215"/>
      <c r="D74" s="117"/>
      <c r="E74" s="117"/>
      <c r="F74" s="117"/>
      <c r="G74" s="117"/>
      <c r="H74" s="117"/>
      <c r="I74" s="72"/>
      <c r="J74" s="72"/>
    </row>
    <row r="75" spans="1:10" ht="19.899999999999999" customHeight="1">
      <c r="A75" s="166"/>
      <c r="B75" s="9"/>
      <c r="C75" s="215"/>
      <c r="D75" s="117"/>
      <c r="E75" s="117"/>
      <c r="F75" s="117"/>
      <c r="G75" s="117"/>
      <c r="H75" s="117"/>
      <c r="I75" s="72"/>
      <c r="J75" s="72"/>
    </row>
    <row r="76" spans="1:10" ht="19.899999999999999" customHeight="1">
      <c r="A76" s="166"/>
      <c r="B76" s="9"/>
      <c r="C76" s="215"/>
      <c r="D76" s="117"/>
      <c r="E76" s="117"/>
      <c r="F76" s="117"/>
      <c r="G76" s="117"/>
      <c r="H76" s="117"/>
      <c r="I76" s="72"/>
      <c r="J76" s="72"/>
    </row>
    <row r="77" spans="1:10" ht="19.899999999999999" customHeight="1">
      <c r="A77" s="166"/>
      <c r="B77" s="9"/>
      <c r="C77" s="215"/>
      <c r="D77" s="117"/>
      <c r="E77" s="117"/>
      <c r="F77" s="117"/>
      <c r="G77" s="117"/>
      <c r="H77" s="117"/>
      <c r="I77" s="72"/>
      <c r="J77" s="72"/>
    </row>
    <row r="78" spans="1:10" ht="19.899999999999999" customHeight="1">
      <c r="A78" s="166"/>
      <c r="B78" s="9"/>
      <c r="C78" s="215"/>
      <c r="D78" s="117"/>
      <c r="E78" s="117"/>
      <c r="F78" s="117"/>
      <c r="G78" s="117"/>
      <c r="H78" s="117"/>
      <c r="I78" s="72"/>
      <c r="J78" s="72"/>
    </row>
    <row r="79" spans="1:10" ht="19.899999999999999" customHeight="1">
      <c r="A79" s="166"/>
      <c r="B79" s="9"/>
      <c r="C79" s="215"/>
      <c r="D79" s="117"/>
      <c r="E79" s="117"/>
      <c r="F79" s="117"/>
      <c r="G79" s="117"/>
      <c r="H79" s="117"/>
      <c r="I79" s="72"/>
      <c r="J79" s="72"/>
    </row>
    <row r="80" spans="1:10" ht="19.899999999999999" customHeight="1">
      <c r="A80" s="166"/>
      <c r="B80" s="9"/>
      <c r="C80" s="215"/>
      <c r="D80" s="117"/>
      <c r="E80" s="117"/>
      <c r="F80" s="117"/>
      <c r="G80" s="117"/>
      <c r="H80" s="117"/>
      <c r="I80" s="72"/>
      <c r="J80" s="72"/>
    </row>
    <row r="81" spans="1:10" ht="19.899999999999999" customHeight="1">
      <c r="A81" s="166"/>
      <c r="B81" s="9"/>
      <c r="C81" s="215"/>
      <c r="D81" s="117"/>
      <c r="E81" s="117"/>
      <c r="F81" s="117"/>
      <c r="G81" s="117"/>
      <c r="H81" s="117"/>
      <c r="I81" s="72"/>
      <c r="J81" s="72"/>
    </row>
    <row r="82" spans="1:10" ht="19.899999999999999" customHeight="1">
      <c r="A82" s="166"/>
      <c r="B82" s="9"/>
      <c r="C82" s="215"/>
      <c r="D82" s="117"/>
      <c r="E82" s="117"/>
      <c r="F82" s="117"/>
      <c r="G82" s="117"/>
      <c r="H82" s="117"/>
      <c r="I82" s="72"/>
      <c r="J82" s="72"/>
    </row>
    <row r="83" spans="1:10" ht="19.899999999999999" customHeight="1">
      <c r="A83" s="166"/>
      <c r="B83" s="9"/>
      <c r="C83" s="215"/>
      <c r="D83" s="117"/>
      <c r="E83" s="117"/>
      <c r="F83" s="117"/>
      <c r="G83" s="117"/>
      <c r="H83" s="117"/>
      <c r="I83" s="72"/>
      <c r="J83" s="72"/>
    </row>
    <row r="84" spans="1:10" ht="19.899999999999999" customHeight="1">
      <c r="A84" s="166"/>
      <c r="B84" s="9"/>
      <c r="C84" s="215"/>
      <c r="D84" s="117"/>
      <c r="E84" s="117"/>
      <c r="F84" s="117"/>
      <c r="G84" s="117"/>
      <c r="H84" s="117"/>
      <c r="I84" s="72"/>
      <c r="J84" s="72"/>
    </row>
    <row r="85" spans="1:10" ht="19.899999999999999" customHeight="1">
      <c r="A85" s="166"/>
      <c r="B85" s="9"/>
      <c r="C85" s="215"/>
      <c r="D85" s="117"/>
      <c r="E85" s="117"/>
      <c r="F85" s="117"/>
      <c r="G85" s="117"/>
      <c r="H85" s="117"/>
      <c r="I85" s="72"/>
      <c r="J85" s="72"/>
    </row>
    <row r="86" spans="1:10" ht="19.899999999999999" customHeight="1">
      <c r="D86" s="117"/>
      <c r="E86" s="117"/>
      <c r="F86" s="117"/>
      <c r="G86" s="117"/>
      <c r="H86" s="117"/>
      <c r="I86" s="72">
        <v>0</v>
      </c>
      <c r="J86" s="72">
        <v>0</v>
      </c>
    </row>
    <row r="87" spans="1:10" ht="19.899999999999999" customHeight="1">
      <c r="A87" s="64" t="s">
        <v>774</v>
      </c>
      <c r="C87" s="22"/>
      <c r="D87" s="117"/>
      <c r="E87" s="117"/>
      <c r="F87" s="117"/>
      <c r="G87" s="117"/>
      <c r="H87" s="117"/>
      <c r="I87" s="72">
        <v>0</v>
      </c>
      <c r="J87" s="72">
        <v>0</v>
      </c>
    </row>
    <row r="88" spans="1:10" ht="30.75" thickBot="1">
      <c r="A88" s="51" t="s">
        <v>15</v>
      </c>
      <c r="B88" s="221" t="s">
        <v>62</v>
      </c>
      <c r="C88" s="51"/>
      <c r="D88" s="116" t="s">
        <v>2312</v>
      </c>
      <c r="E88" s="116" t="s">
        <v>21</v>
      </c>
      <c r="F88" s="116" t="s">
        <v>2309</v>
      </c>
      <c r="G88" s="116" t="s">
        <v>2311</v>
      </c>
      <c r="H88" s="116" t="s">
        <v>498</v>
      </c>
      <c r="I88" s="56" t="s">
        <v>60</v>
      </c>
      <c r="J88" s="56" t="s">
        <v>61</v>
      </c>
    </row>
    <row r="89" spans="1:10" ht="19.899999999999999" customHeight="1">
      <c r="A89" s="16">
        <v>1</v>
      </c>
      <c r="B89" s="223" t="s">
        <v>1266</v>
      </c>
      <c r="C89" s="216">
        <v>5987300</v>
      </c>
      <c r="D89" s="74">
        <f>ROUNDUP(C89,-3)</f>
        <v>5988000</v>
      </c>
      <c r="E89" s="74">
        <f t="shared" ref="E89:E144" si="10">ROUNDUP($C89*1.1,-3)</f>
        <v>6587000</v>
      </c>
      <c r="F89" s="74">
        <f t="shared" ref="F89:F144" si="11">ROUNDUP($C89*1.1*1.19,-3)</f>
        <v>7838000</v>
      </c>
      <c r="G89" s="74">
        <f t="shared" ref="G89:G144" si="12">ROUNDUP($C89*1.1*1.19*1.1,-3)</f>
        <v>8622000</v>
      </c>
      <c r="H89" s="74">
        <f t="shared" ref="H89:H144" si="13">ROUNDUP($C89*1.1*1.19*1.1*1.1,-3)</f>
        <v>9484000</v>
      </c>
      <c r="I89" s="75">
        <v>13287000</v>
      </c>
      <c r="J89" s="75">
        <v>14615000</v>
      </c>
    </row>
    <row r="90" spans="1:10" ht="19.899999999999999" customHeight="1">
      <c r="A90" s="17">
        <v>2</v>
      </c>
      <c r="B90" s="222" t="s">
        <v>505</v>
      </c>
      <c r="C90" s="217">
        <v>8388326.1000000006</v>
      </c>
      <c r="D90" s="74">
        <f t="shared" ref="D90:D144" si="14">ROUNDUP(C90,-3)</f>
        <v>8389000</v>
      </c>
      <c r="E90" s="74">
        <f t="shared" si="10"/>
        <v>9228000</v>
      </c>
      <c r="F90" s="74">
        <f t="shared" si="11"/>
        <v>10981000</v>
      </c>
      <c r="G90" s="74">
        <f t="shared" si="12"/>
        <v>12079000</v>
      </c>
      <c r="H90" s="74">
        <f t="shared" si="13"/>
        <v>13287000</v>
      </c>
      <c r="I90" s="75">
        <v>6279000</v>
      </c>
      <c r="J90" s="75">
        <v>6907000</v>
      </c>
    </row>
    <row r="91" spans="1:10" ht="19.899999999999999" customHeight="1">
      <c r="A91" s="17">
        <v>3</v>
      </c>
      <c r="B91" s="222" t="s">
        <v>1267</v>
      </c>
      <c r="C91" s="217">
        <v>7176510.0000000009</v>
      </c>
      <c r="D91" s="74">
        <f t="shared" si="14"/>
        <v>7177000</v>
      </c>
      <c r="E91" s="74">
        <f t="shared" si="10"/>
        <v>7895000</v>
      </c>
      <c r="F91" s="74">
        <f t="shared" si="11"/>
        <v>9395000</v>
      </c>
      <c r="G91" s="74">
        <f t="shared" si="12"/>
        <v>10334000</v>
      </c>
      <c r="H91" s="74">
        <f t="shared" si="13"/>
        <v>11367000</v>
      </c>
      <c r="I91" s="75">
        <v>3864000</v>
      </c>
      <c r="J91" s="75">
        <v>4251000</v>
      </c>
    </row>
    <row r="92" spans="1:10" ht="19.899999999999999" customHeight="1">
      <c r="A92" s="16">
        <v>4</v>
      </c>
      <c r="B92" s="222" t="s">
        <v>1268</v>
      </c>
      <c r="C92" s="217">
        <v>2418186.1</v>
      </c>
      <c r="D92" s="74">
        <f t="shared" si="14"/>
        <v>2419000</v>
      </c>
      <c r="E92" s="74">
        <f t="shared" si="10"/>
        <v>2661000</v>
      </c>
      <c r="F92" s="74">
        <f t="shared" si="11"/>
        <v>3166000</v>
      </c>
      <c r="G92" s="74">
        <f t="shared" si="12"/>
        <v>3482000</v>
      </c>
      <c r="H92" s="74">
        <f t="shared" si="13"/>
        <v>3831000</v>
      </c>
      <c r="I92" s="75">
        <v>9458000</v>
      </c>
      <c r="J92" s="75">
        <v>10404000</v>
      </c>
    </row>
    <row r="93" spans="1:10" ht="19.899999999999999" customHeight="1">
      <c r="A93" s="17">
        <v>5</v>
      </c>
      <c r="B93" s="222" t="s">
        <v>1269</v>
      </c>
      <c r="C93" s="217">
        <v>6050000.0000000009</v>
      </c>
      <c r="D93" s="74">
        <f t="shared" si="14"/>
        <v>6050000</v>
      </c>
      <c r="E93" s="74">
        <f t="shared" si="10"/>
        <v>6655000</v>
      </c>
      <c r="F93" s="74">
        <f t="shared" si="11"/>
        <v>7920000</v>
      </c>
      <c r="G93" s="74">
        <f t="shared" si="12"/>
        <v>8712000</v>
      </c>
      <c r="H93" s="74">
        <f t="shared" si="13"/>
        <v>9583000</v>
      </c>
      <c r="I93" s="75">
        <v>5635000</v>
      </c>
      <c r="J93" s="75">
        <v>6198000</v>
      </c>
    </row>
    <row r="94" spans="1:10" ht="19.899999999999999" customHeight="1">
      <c r="A94" s="17">
        <v>6</v>
      </c>
      <c r="B94" s="222" t="s">
        <v>1270</v>
      </c>
      <c r="C94" s="217">
        <v>2418186.1</v>
      </c>
      <c r="D94" s="74">
        <f t="shared" si="14"/>
        <v>2419000</v>
      </c>
      <c r="E94" s="74">
        <f t="shared" si="10"/>
        <v>2661000</v>
      </c>
      <c r="F94" s="74">
        <f t="shared" si="11"/>
        <v>3166000</v>
      </c>
      <c r="G94" s="74">
        <f t="shared" si="12"/>
        <v>3482000</v>
      </c>
      <c r="H94" s="74">
        <f t="shared" si="13"/>
        <v>3831000</v>
      </c>
      <c r="I94" s="75">
        <v>9458000</v>
      </c>
      <c r="J94" s="75">
        <v>10404000</v>
      </c>
    </row>
    <row r="95" spans="1:10" ht="19.899999999999999" customHeight="1">
      <c r="A95" s="16">
        <v>7</v>
      </c>
      <c r="B95" s="222" t="s">
        <v>506</v>
      </c>
      <c r="C95" s="217">
        <v>3963960.0000000005</v>
      </c>
      <c r="D95" s="74">
        <f t="shared" si="14"/>
        <v>3964000</v>
      </c>
      <c r="E95" s="74">
        <f t="shared" si="10"/>
        <v>4361000</v>
      </c>
      <c r="F95" s="74">
        <f t="shared" si="11"/>
        <v>5189000</v>
      </c>
      <c r="G95" s="74">
        <f t="shared" si="12"/>
        <v>5708000</v>
      </c>
      <c r="H95" s="74">
        <f t="shared" si="13"/>
        <v>6279000</v>
      </c>
      <c r="I95" s="75">
        <v>5635000</v>
      </c>
      <c r="J95" s="75">
        <v>6198000</v>
      </c>
    </row>
    <row r="96" spans="1:10" ht="19.899999999999999" customHeight="1">
      <c r="A96" s="16">
        <v>8</v>
      </c>
      <c r="B96" s="222" t="s">
        <v>507</v>
      </c>
      <c r="C96" s="217">
        <v>2409716.1</v>
      </c>
      <c r="D96" s="74">
        <f t="shared" si="14"/>
        <v>2410000</v>
      </c>
      <c r="E96" s="74">
        <f t="shared" si="10"/>
        <v>2651000</v>
      </c>
      <c r="F96" s="74">
        <f t="shared" si="11"/>
        <v>3155000</v>
      </c>
      <c r="G96" s="74">
        <f t="shared" si="12"/>
        <v>3470000</v>
      </c>
      <c r="H96" s="74">
        <f t="shared" si="13"/>
        <v>3817000</v>
      </c>
      <c r="I96" s="75">
        <v>5424000</v>
      </c>
      <c r="J96" s="75">
        <v>5967000</v>
      </c>
    </row>
    <row r="97" spans="1:10" ht="19.899999999999999" customHeight="1">
      <c r="A97" s="17">
        <v>9</v>
      </c>
      <c r="B97" s="223" t="s">
        <v>1271</v>
      </c>
      <c r="C97" s="217">
        <v>6524100</v>
      </c>
      <c r="D97" s="74">
        <f t="shared" si="14"/>
        <v>6525000</v>
      </c>
      <c r="E97" s="74">
        <f t="shared" si="10"/>
        <v>7177000</v>
      </c>
      <c r="F97" s="74">
        <f t="shared" si="11"/>
        <v>8541000</v>
      </c>
      <c r="G97" s="74">
        <f t="shared" si="12"/>
        <v>9395000</v>
      </c>
      <c r="H97" s="74">
        <f t="shared" si="13"/>
        <v>10334000</v>
      </c>
      <c r="I97" s="75">
        <v>4810000</v>
      </c>
      <c r="J97" s="75">
        <v>5291000</v>
      </c>
    </row>
    <row r="98" spans="1:10" ht="19.899999999999999" customHeight="1">
      <c r="A98" s="17">
        <v>10</v>
      </c>
      <c r="B98" s="223" t="s">
        <v>1272</v>
      </c>
      <c r="C98" s="217">
        <v>6524100</v>
      </c>
      <c r="D98" s="74">
        <f t="shared" si="14"/>
        <v>6525000</v>
      </c>
      <c r="E98" s="74">
        <f t="shared" si="10"/>
        <v>7177000</v>
      </c>
      <c r="F98" s="74">
        <f t="shared" si="11"/>
        <v>8541000</v>
      </c>
      <c r="G98" s="74">
        <f t="shared" si="12"/>
        <v>9395000</v>
      </c>
      <c r="H98" s="74">
        <f t="shared" si="13"/>
        <v>10334000</v>
      </c>
      <c r="I98" s="75">
        <v>3818000</v>
      </c>
      <c r="J98" s="75">
        <v>4200000</v>
      </c>
    </row>
    <row r="99" spans="1:10" ht="19.899999999999999" customHeight="1">
      <c r="A99" s="16">
        <v>11</v>
      </c>
      <c r="B99" s="222" t="s">
        <v>1273</v>
      </c>
      <c r="C99" s="217">
        <v>7176510.0000000009</v>
      </c>
      <c r="D99" s="74">
        <f t="shared" si="14"/>
        <v>7177000</v>
      </c>
      <c r="E99" s="74">
        <f t="shared" si="10"/>
        <v>7895000</v>
      </c>
      <c r="F99" s="74">
        <f t="shared" si="11"/>
        <v>9395000</v>
      </c>
      <c r="G99" s="74">
        <f t="shared" si="12"/>
        <v>10334000</v>
      </c>
      <c r="H99" s="74">
        <f t="shared" si="13"/>
        <v>11367000</v>
      </c>
      <c r="I99" s="75">
        <v>9205000</v>
      </c>
      <c r="J99" s="75">
        <v>10125000</v>
      </c>
    </row>
    <row r="100" spans="1:10" ht="19.899999999999999" customHeight="1">
      <c r="A100" s="17">
        <v>12</v>
      </c>
      <c r="B100" s="222" t="s">
        <v>1274</v>
      </c>
      <c r="C100" s="217">
        <v>7176510.0000000009</v>
      </c>
      <c r="D100" s="74">
        <f t="shared" si="14"/>
        <v>7177000</v>
      </c>
      <c r="E100" s="74">
        <f t="shared" si="10"/>
        <v>7895000</v>
      </c>
      <c r="F100" s="74">
        <f t="shared" si="11"/>
        <v>9395000</v>
      </c>
      <c r="G100" s="74">
        <f t="shared" si="12"/>
        <v>10334000</v>
      </c>
      <c r="H100" s="74">
        <f t="shared" si="13"/>
        <v>11367000</v>
      </c>
      <c r="I100" s="75">
        <v>4017000</v>
      </c>
      <c r="J100" s="75">
        <v>4418000</v>
      </c>
    </row>
    <row r="101" spans="1:10" ht="19.899999999999999" customHeight="1">
      <c r="A101" s="17">
        <v>13</v>
      </c>
      <c r="B101" s="222" t="s">
        <v>1275</v>
      </c>
      <c r="C101" s="217">
        <v>6817140.0000000009</v>
      </c>
      <c r="D101" s="74">
        <f t="shared" si="14"/>
        <v>6818000</v>
      </c>
      <c r="E101" s="74">
        <f t="shared" si="10"/>
        <v>7499000</v>
      </c>
      <c r="F101" s="74">
        <f t="shared" si="11"/>
        <v>8924000</v>
      </c>
      <c r="G101" s="74">
        <f t="shared" si="12"/>
        <v>9816000</v>
      </c>
      <c r="H101" s="74">
        <f t="shared" si="13"/>
        <v>10798000</v>
      </c>
      <c r="I101" s="75">
        <v>11501000</v>
      </c>
      <c r="J101" s="75">
        <v>12652000</v>
      </c>
    </row>
    <row r="102" spans="1:10" ht="19.899999999999999" customHeight="1">
      <c r="A102" s="16">
        <v>14</v>
      </c>
      <c r="B102" s="222" t="s">
        <v>1276</v>
      </c>
      <c r="C102" s="217">
        <v>5971350.0000000009</v>
      </c>
      <c r="D102" s="74">
        <f t="shared" si="14"/>
        <v>5972000</v>
      </c>
      <c r="E102" s="74">
        <f t="shared" si="10"/>
        <v>6569000</v>
      </c>
      <c r="F102" s="74">
        <f t="shared" si="11"/>
        <v>7817000</v>
      </c>
      <c r="G102" s="74">
        <f t="shared" si="12"/>
        <v>8599000</v>
      </c>
      <c r="H102" s="74">
        <f t="shared" si="13"/>
        <v>9458000</v>
      </c>
      <c r="I102" s="75">
        <v>5040000</v>
      </c>
      <c r="J102" s="75">
        <v>5544000</v>
      </c>
    </row>
    <row r="103" spans="1:10" ht="19.899999999999999" customHeight="1">
      <c r="A103" s="16">
        <v>15</v>
      </c>
      <c r="B103" s="222" t="s">
        <v>1277</v>
      </c>
      <c r="C103" s="217">
        <v>3557400.0000000005</v>
      </c>
      <c r="D103" s="74">
        <f t="shared" si="14"/>
        <v>3558000</v>
      </c>
      <c r="E103" s="74">
        <f t="shared" si="10"/>
        <v>3914000</v>
      </c>
      <c r="F103" s="74">
        <f t="shared" si="11"/>
        <v>4657000</v>
      </c>
      <c r="G103" s="74">
        <f t="shared" si="12"/>
        <v>5123000</v>
      </c>
      <c r="H103" s="74">
        <f t="shared" si="13"/>
        <v>5635000</v>
      </c>
      <c r="I103" s="75">
        <v>4556000</v>
      </c>
      <c r="J103" s="75">
        <v>5012000</v>
      </c>
    </row>
    <row r="104" spans="1:10" ht="19.899999999999999" customHeight="1">
      <c r="A104" s="17">
        <v>16</v>
      </c>
      <c r="B104" s="222" t="s">
        <v>1278</v>
      </c>
      <c r="C104" s="217">
        <v>5971350.0000000009</v>
      </c>
      <c r="D104" s="74">
        <f t="shared" si="14"/>
        <v>5972000</v>
      </c>
      <c r="E104" s="74">
        <f t="shared" si="10"/>
        <v>6569000</v>
      </c>
      <c r="F104" s="74">
        <f t="shared" si="11"/>
        <v>7817000</v>
      </c>
      <c r="G104" s="74">
        <f t="shared" si="12"/>
        <v>8599000</v>
      </c>
      <c r="H104" s="74">
        <f t="shared" si="13"/>
        <v>9458000</v>
      </c>
      <c r="I104" s="75">
        <v>6551000</v>
      </c>
      <c r="J104" s="75">
        <v>7206000</v>
      </c>
    </row>
    <row r="105" spans="1:10" ht="19.899999999999999" customHeight="1">
      <c r="A105" s="17">
        <v>17</v>
      </c>
      <c r="B105" s="222" t="s">
        <v>1279</v>
      </c>
      <c r="C105" s="217">
        <v>3557400.0000000005</v>
      </c>
      <c r="D105" s="74">
        <f t="shared" si="14"/>
        <v>3558000</v>
      </c>
      <c r="E105" s="74">
        <f t="shared" si="10"/>
        <v>3914000</v>
      </c>
      <c r="F105" s="74">
        <f t="shared" si="11"/>
        <v>4657000</v>
      </c>
      <c r="G105" s="74">
        <f t="shared" si="12"/>
        <v>5123000</v>
      </c>
      <c r="H105" s="74">
        <f t="shared" si="13"/>
        <v>5635000</v>
      </c>
      <c r="I105" s="75">
        <v>6724000</v>
      </c>
      <c r="J105" s="75">
        <v>7396000</v>
      </c>
    </row>
    <row r="106" spans="1:10" ht="19.899999999999999" customHeight="1">
      <c r="A106" s="16">
        <v>18</v>
      </c>
      <c r="B106" s="222" t="s">
        <v>1280</v>
      </c>
      <c r="C106" s="217">
        <v>5971350.0000000009</v>
      </c>
      <c r="D106" s="74">
        <f t="shared" si="14"/>
        <v>5972000</v>
      </c>
      <c r="E106" s="74">
        <f t="shared" si="10"/>
        <v>6569000</v>
      </c>
      <c r="F106" s="74">
        <f t="shared" si="11"/>
        <v>7817000</v>
      </c>
      <c r="G106" s="74">
        <f t="shared" si="12"/>
        <v>8599000</v>
      </c>
      <c r="H106" s="74">
        <f t="shared" si="13"/>
        <v>9458000</v>
      </c>
      <c r="I106" s="75">
        <v>5039000</v>
      </c>
      <c r="J106" s="75">
        <v>5543000</v>
      </c>
    </row>
    <row r="107" spans="1:10" ht="19.899999999999999" customHeight="1">
      <c r="A107" s="17">
        <v>19</v>
      </c>
      <c r="B107" s="222" t="s">
        <v>508</v>
      </c>
      <c r="C107" s="217">
        <v>3424300.0000000005</v>
      </c>
      <c r="D107" s="74">
        <f t="shared" si="14"/>
        <v>3425000</v>
      </c>
      <c r="E107" s="74">
        <f t="shared" si="10"/>
        <v>3767000</v>
      </c>
      <c r="F107" s="74">
        <f t="shared" si="11"/>
        <v>4483000</v>
      </c>
      <c r="G107" s="74">
        <f t="shared" si="12"/>
        <v>4931000</v>
      </c>
      <c r="H107" s="74">
        <f t="shared" si="13"/>
        <v>5424000</v>
      </c>
      <c r="I107" s="75">
        <v>12652000</v>
      </c>
      <c r="J107" s="75">
        <v>13918000</v>
      </c>
    </row>
    <row r="108" spans="1:10" ht="19.899999999999999" customHeight="1">
      <c r="A108" s="17">
        <v>20</v>
      </c>
      <c r="B108" s="222" t="s">
        <v>1281</v>
      </c>
      <c r="C108" s="217">
        <v>3036496.1</v>
      </c>
      <c r="D108" s="74">
        <f t="shared" si="14"/>
        <v>3037000</v>
      </c>
      <c r="E108" s="74">
        <f t="shared" si="10"/>
        <v>3341000</v>
      </c>
      <c r="F108" s="74">
        <f t="shared" si="11"/>
        <v>3975000</v>
      </c>
      <c r="G108" s="74">
        <f t="shared" si="12"/>
        <v>4373000</v>
      </c>
      <c r="H108" s="74">
        <f t="shared" si="13"/>
        <v>4810000</v>
      </c>
      <c r="I108" s="75">
        <v>13616000</v>
      </c>
      <c r="J108" s="75">
        <v>14978000</v>
      </c>
    </row>
    <row r="109" spans="1:10" ht="19.899999999999999" customHeight="1">
      <c r="A109" s="16">
        <v>21</v>
      </c>
      <c r="B109" s="222" t="s">
        <v>1282</v>
      </c>
      <c r="C109" s="217">
        <v>2410320</v>
      </c>
      <c r="D109" s="74">
        <f t="shared" si="14"/>
        <v>2411000</v>
      </c>
      <c r="E109" s="74">
        <f t="shared" si="10"/>
        <v>2652000</v>
      </c>
      <c r="F109" s="74">
        <f t="shared" si="11"/>
        <v>3156000</v>
      </c>
      <c r="G109" s="74">
        <f t="shared" si="12"/>
        <v>3471000</v>
      </c>
      <c r="H109" s="74">
        <f t="shared" si="13"/>
        <v>3818000</v>
      </c>
      <c r="I109" s="75">
        <v>4556000</v>
      </c>
      <c r="J109" s="75">
        <v>5012000</v>
      </c>
    </row>
    <row r="110" spans="1:10" ht="19.899999999999999" customHeight="1">
      <c r="A110" s="16">
        <v>22</v>
      </c>
      <c r="B110" s="222" t="s">
        <v>1283</v>
      </c>
      <c r="C110" s="217">
        <v>2878228.1</v>
      </c>
      <c r="D110" s="74">
        <f t="shared" si="14"/>
        <v>2879000</v>
      </c>
      <c r="E110" s="74">
        <f t="shared" si="10"/>
        <v>3167000</v>
      </c>
      <c r="F110" s="74">
        <f t="shared" si="11"/>
        <v>3768000</v>
      </c>
      <c r="G110" s="74">
        <f t="shared" si="12"/>
        <v>4145000</v>
      </c>
      <c r="H110" s="74">
        <f t="shared" si="13"/>
        <v>4559000</v>
      </c>
      <c r="I110" s="75">
        <v>3818000</v>
      </c>
      <c r="J110" s="75">
        <v>4200000</v>
      </c>
    </row>
    <row r="111" spans="1:10" ht="19.899999999999999" customHeight="1">
      <c r="A111" s="17">
        <v>23</v>
      </c>
      <c r="B111" s="222" t="s">
        <v>509</v>
      </c>
      <c r="C111" s="217">
        <v>5811026.1000000006</v>
      </c>
      <c r="D111" s="74">
        <f t="shared" si="14"/>
        <v>5812000</v>
      </c>
      <c r="E111" s="74">
        <f t="shared" si="10"/>
        <v>6393000</v>
      </c>
      <c r="F111" s="74">
        <f t="shared" si="11"/>
        <v>7607000</v>
      </c>
      <c r="G111" s="74">
        <f t="shared" si="12"/>
        <v>8368000</v>
      </c>
      <c r="H111" s="74">
        <f t="shared" si="13"/>
        <v>9205000</v>
      </c>
      <c r="I111" s="75">
        <v>17387000</v>
      </c>
      <c r="J111" s="75">
        <v>19126000</v>
      </c>
    </row>
    <row r="112" spans="1:10" ht="19.899999999999999" customHeight="1">
      <c r="A112" s="17">
        <v>24</v>
      </c>
      <c r="B112" s="222" t="s">
        <v>510</v>
      </c>
      <c r="C112" s="217">
        <v>2535556.1</v>
      </c>
      <c r="D112" s="74">
        <f t="shared" si="14"/>
        <v>2536000</v>
      </c>
      <c r="E112" s="74">
        <f t="shared" si="10"/>
        <v>2790000</v>
      </c>
      <c r="F112" s="74">
        <f t="shared" si="11"/>
        <v>3320000</v>
      </c>
      <c r="G112" s="74">
        <f t="shared" si="12"/>
        <v>3651000</v>
      </c>
      <c r="H112" s="74">
        <f t="shared" si="13"/>
        <v>4017000</v>
      </c>
      <c r="I112" s="75">
        <v>7881000</v>
      </c>
      <c r="J112" s="75">
        <v>8669000</v>
      </c>
    </row>
    <row r="113" spans="1:10" ht="19.899999999999999" customHeight="1">
      <c r="A113" s="16">
        <v>25</v>
      </c>
      <c r="B113" s="222" t="s">
        <v>1284</v>
      </c>
      <c r="C113" s="217">
        <v>2758800</v>
      </c>
      <c r="D113" s="74">
        <f t="shared" si="14"/>
        <v>2759000</v>
      </c>
      <c r="E113" s="74">
        <f t="shared" si="10"/>
        <v>3035000</v>
      </c>
      <c r="F113" s="74">
        <f t="shared" si="11"/>
        <v>3612000</v>
      </c>
      <c r="G113" s="74">
        <f t="shared" si="12"/>
        <v>3973000</v>
      </c>
      <c r="H113" s="74">
        <f t="shared" si="13"/>
        <v>4370000</v>
      </c>
      <c r="I113" s="75">
        <v>13793000</v>
      </c>
      <c r="J113" s="75">
        <v>15172000</v>
      </c>
    </row>
    <row r="114" spans="1:10" ht="19.899999999999999" customHeight="1">
      <c r="A114" s="17">
        <v>26</v>
      </c>
      <c r="B114" s="222" t="s">
        <v>1285</v>
      </c>
      <c r="C114" s="224">
        <v>4937102.5</v>
      </c>
      <c r="D114" s="74">
        <f t="shared" si="14"/>
        <v>4938000</v>
      </c>
      <c r="E114" s="74">
        <f t="shared" si="10"/>
        <v>5431000</v>
      </c>
      <c r="F114" s="74">
        <f t="shared" si="11"/>
        <v>6463000</v>
      </c>
      <c r="G114" s="74">
        <f t="shared" si="12"/>
        <v>7109000</v>
      </c>
      <c r="H114" s="74">
        <f t="shared" si="13"/>
        <v>7820000</v>
      </c>
      <c r="I114" s="103">
        <v>7722000</v>
      </c>
      <c r="J114" s="103">
        <v>8494000</v>
      </c>
    </row>
    <row r="115" spans="1:10" ht="19.899999999999999" customHeight="1">
      <c r="A115" s="17">
        <v>27</v>
      </c>
      <c r="B115" s="222" t="s">
        <v>1286</v>
      </c>
      <c r="C115" s="118">
        <v>7261210.0000000009</v>
      </c>
      <c r="D115" s="74">
        <f t="shared" si="14"/>
        <v>7262000</v>
      </c>
      <c r="E115" s="74">
        <f t="shared" si="10"/>
        <v>7988000</v>
      </c>
      <c r="F115" s="74">
        <f t="shared" si="11"/>
        <v>9505000</v>
      </c>
      <c r="G115" s="74">
        <f t="shared" si="12"/>
        <v>10456000</v>
      </c>
      <c r="H115" s="74">
        <f t="shared" si="13"/>
        <v>11501000</v>
      </c>
      <c r="I115" s="114">
        <v>9484000</v>
      </c>
      <c r="J115" s="104"/>
    </row>
    <row r="116" spans="1:10" ht="19.899999999999999" customHeight="1">
      <c r="A116" s="16">
        <v>28</v>
      </c>
      <c r="B116" s="222" t="s">
        <v>1287</v>
      </c>
      <c r="C116" s="225">
        <v>3181696.1</v>
      </c>
      <c r="D116" s="74">
        <f t="shared" si="14"/>
        <v>3182000</v>
      </c>
      <c r="E116" s="74">
        <f t="shared" si="10"/>
        <v>3500000</v>
      </c>
      <c r="F116" s="74">
        <f t="shared" si="11"/>
        <v>4165000</v>
      </c>
      <c r="G116" s="74">
        <f t="shared" si="12"/>
        <v>4582000</v>
      </c>
      <c r="H116" s="74">
        <f t="shared" si="13"/>
        <v>5040000</v>
      </c>
      <c r="I116" s="114">
        <v>10334000</v>
      </c>
    </row>
    <row r="117" spans="1:10" ht="19.899999999999999" customHeight="1">
      <c r="A117" s="16">
        <v>29</v>
      </c>
      <c r="B117" s="222" t="s">
        <v>1288</v>
      </c>
      <c r="C117" s="225">
        <v>2382490</v>
      </c>
      <c r="D117" s="74">
        <f t="shared" si="14"/>
        <v>2383000</v>
      </c>
      <c r="E117" s="74">
        <f t="shared" si="10"/>
        <v>2621000</v>
      </c>
      <c r="F117" s="74">
        <f t="shared" si="11"/>
        <v>3119000</v>
      </c>
      <c r="G117" s="74">
        <f t="shared" si="12"/>
        <v>3431000</v>
      </c>
      <c r="H117" s="74">
        <f t="shared" si="13"/>
        <v>3774000</v>
      </c>
      <c r="I117" s="114">
        <v>3482000</v>
      </c>
    </row>
    <row r="118" spans="1:10" ht="19.899999999999999" customHeight="1">
      <c r="A118" s="17">
        <v>30</v>
      </c>
      <c r="B118" s="222" t="s">
        <v>1289</v>
      </c>
      <c r="C118" s="118">
        <v>2876170</v>
      </c>
      <c r="D118" s="74">
        <f t="shared" si="14"/>
        <v>2877000</v>
      </c>
      <c r="E118" s="74">
        <f t="shared" si="10"/>
        <v>3164000</v>
      </c>
      <c r="F118" s="74">
        <f t="shared" si="11"/>
        <v>3765000</v>
      </c>
      <c r="G118" s="74">
        <f t="shared" si="12"/>
        <v>4142000</v>
      </c>
      <c r="H118" s="74">
        <f t="shared" si="13"/>
        <v>4556000</v>
      </c>
      <c r="I118" s="114">
        <v>9816000</v>
      </c>
    </row>
    <row r="119" spans="1:10" ht="19.899999999999999" customHeight="1">
      <c r="A119" s="17">
        <v>31</v>
      </c>
      <c r="B119" s="222" t="s">
        <v>1290</v>
      </c>
      <c r="C119" s="118">
        <v>2410320</v>
      </c>
      <c r="D119" s="74">
        <f t="shared" si="14"/>
        <v>2411000</v>
      </c>
      <c r="E119" s="74">
        <f t="shared" si="10"/>
        <v>2652000</v>
      </c>
      <c r="F119" s="74">
        <f t="shared" si="11"/>
        <v>3156000</v>
      </c>
      <c r="G119" s="74">
        <f t="shared" si="12"/>
        <v>3471000</v>
      </c>
      <c r="H119" s="74">
        <f t="shared" si="13"/>
        <v>3818000</v>
      </c>
      <c r="I119" s="114">
        <v>3973000</v>
      </c>
    </row>
    <row r="120" spans="1:10" ht="19.899999999999999" customHeight="1">
      <c r="A120" s="16">
        <v>32</v>
      </c>
      <c r="B120" s="222" t="s">
        <v>1291</v>
      </c>
      <c r="C120" s="225">
        <v>4244680</v>
      </c>
      <c r="D120" s="74">
        <f t="shared" si="14"/>
        <v>4245000</v>
      </c>
      <c r="E120" s="74">
        <f t="shared" si="10"/>
        <v>4670000</v>
      </c>
      <c r="F120" s="74">
        <f t="shared" si="11"/>
        <v>5557000</v>
      </c>
      <c r="G120" s="74">
        <f t="shared" si="12"/>
        <v>6112000</v>
      </c>
      <c r="H120" s="74">
        <f t="shared" si="13"/>
        <v>6724000</v>
      </c>
      <c r="I120" s="114">
        <v>7109000</v>
      </c>
    </row>
    <row r="121" spans="1:10" ht="19.899999999999999" customHeight="1">
      <c r="A121" s="17">
        <v>33</v>
      </c>
      <c r="B121" s="222" t="s">
        <v>1292</v>
      </c>
      <c r="C121" s="225">
        <v>3181090.0000000005</v>
      </c>
      <c r="D121" s="74">
        <f t="shared" si="14"/>
        <v>3182000</v>
      </c>
      <c r="E121" s="74">
        <f t="shared" si="10"/>
        <v>3500000</v>
      </c>
      <c r="F121" s="74">
        <f t="shared" si="11"/>
        <v>4165000</v>
      </c>
      <c r="G121" s="74">
        <f t="shared" si="12"/>
        <v>4581000</v>
      </c>
      <c r="H121" s="74">
        <f t="shared" si="13"/>
        <v>5039000</v>
      </c>
      <c r="I121" s="114">
        <v>4145000</v>
      </c>
    </row>
    <row r="122" spans="1:10" ht="19.899999999999999" customHeight="1">
      <c r="A122" s="17">
        <v>34</v>
      </c>
      <c r="B122" s="223" t="s">
        <v>1293</v>
      </c>
      <c r="C122" s="225">
        <v>7261651</v>
      </c>
      <c r="D122" s="74">
        <f t="shared" si="14"/>
        <v>7262000</v>
      </c>
      <c r="E122" s="74">
        <f t="shared" si="10"/>
        <v>7988000</v>
      </c>
      <c r="F122" s="74">
        <f t="shared" si="11"/>
        <v>9506000</v>
      </c>
      <c r="G122" s="74">
        <f t="shared" si="12"/>
        <v>10457000</v>
      </c>
      <c r="H122" s="74">
        <f t="shared" si="13"/>
        <v>11502000</v>
      </c>
      <c r="I122" s="114">
        <v>3973000</v>
      </c>
    </row>
    <row r="123" spans="1:10" ht="19.899999999999999" customHeight="1">
      <c r="A123" s="16">
        <v>35</v>
      </c>
      <c r="B123" s="222" t="s">
        <v>1294</v>
      </c>
      <c r="C123" s="225">
        <v>8596446.1000000015</v>
      </c>
      <c r="D123" s="74">
        <f t="shared" si="14"/>
        <v>8597000</v>
      </c>
      <c r="E123" s="74">
        <f t="shared" si="10"/>
        <v>9457000</v>
      </c>
      <c r="F123" s="74">
        <f t="shared" si="11"/>
        <v>11253000</v>
      </c>
      <c r="G123" s="74">
        <f t="shared" si="12"/>
        <v>12379000</v>
      </c>
      <c r="H123" s="74">
        <f t="shared" si="13"/>
        <v>13616000</v>
      </c>
      <c r="I123" s="114">
        <v>7109000</v>
      </c>
    </row>
    <row r="124" spans="1:10" ht="19.899999999999999" customHeight="1">
      <c r="A124" s="16">
        <v>36</v>
      </c>
      <c r="B124" s="222" t="s">
        <v>1295</v>
      </c>
      <c r="C124" s="225">
        <v>4677860</v>
      </c>
      <c r="D124" s="74">
        <f t="shared" si="14"/>
        <v>4678000</v>
      </c>
      <c r="E124" s="74">
        <f t="shared" si="10"/>
        <v>5146000</v>
      </c>
      <c r="F124" s="74">
        <f t="shared" si="11"/>
        <v>6124000</v>
      </c>
      <c r="G124" s="74">
        <f t="shared" si="12"/>
        <v>6736000</v>
      </c>
      <c r="H124" s="74">
        <f t="shared" si="13"/>
        <v>7410000</v>
      </c>
      <c r="I124" s="114">
        <v>4145000</v>
      </c>
    </row>
    <row r="125" spans="1:10" ht="19.899999999999999" customHeight="1">
      <c r="A125" s="17">
        <v>37</v>
      </c>
      <c r="B125" s="222" t="s">
        <v>1296</v>
      </c>
      <c r="C125" s="118">
        <v>2876170</v>
      </c>
      <c r="D125" s="74">
        <f t="shared" si="14"/>
        <v>2877000</v>
      </c>
      <c r="E125" s="74">
        <f t="shared" si="10"/>
        <v>3164000</v>
      </c>
      <c r="F125" s="74">
        <f t="shared" si="11"/>
        <v>3765000</v>
      </c>
      <c r="G125" s="74">
        <f t="shared" si="12"/>
        <v>4142000</v>
      </c>
      <c r="H125" s="74">
        <f t="shared" si="13"/>
        <v>4556000</v>
      </c>
      <c r="I125" s="114">
        <v>3431000</v>
      </c>
    </row>
    <row r="126" spans="1:10" ht="19.899999999999999" customHeight="1">
      <c r="A126" s="17">
        <v>38</v>
      </c>
      <c r="B126" s="223" t="s">
        <v>1297</v>
      </c>
      <c r="C126" s="225">
        <v>9979200</v>
      </c>
      <c r="D126" s="74">
        <f t="shared" si="14"/>
        <v>9980000</v>
      </c>
      <c r="E126" s="74">
        <f t="shared" si="10"/>
        <v>10978000</v>
      </c>
      <c r="F126" s="74">
        <f t="shared" si="11"/>
        <v>13063000</v>
      </c>
      <c r="G126" s="74">
        <f t="shared" si="12"/>
        <v>14370000</v>
      </c>
      <c r="H126" s="74">
        <f t="shared" si="13"/>
        <v>15806000</v>
      </c>
      <c r="I126" s="114">
        <v>3910000</v>
      </c>
    </row>
    <row r="127" spans="1:10" ht="19.899999999999999" customHeight="1">
      <c r="A127" s="16">
        <v>39</v>
      </c>
      <c r="B127" s="223" t="s">
        <v>1298</v>
      </c>
      <c r="C127" s="225">
        <v>4523200</v>
      </c>
      <c r="D127" s="74">
        <f t="shared" si="14"/>
        <v>4524000</v>
      </c>
      <c r="E127" s="74">
        <f t="shared" si="10"/>
        <v>4976000</v>
      </c>
      <c r="F127" s="74">
        <f t="shared" si="11"/>
        <v>5921000</v>
      </c>
      <c r="G127" s="74">
        <f t="shared" si="12"/>
        <v>6513000</v>
      </c>
      <c r="H127" s="74">
        <f t="shared" si="13"/>
        <v>7165000</v>
      </c>
      <c r="I127" s="114">
        <v>3470000</v>
      </c>
    </row>
    <row r="128" spans="1:10" ht="19.899999999999999" customHeight="1">
      <c r="A128" s="17">
        <v>40</v>
      </c>
      <c r="B128" s="222" t="s">
        <v>1299</v>
      </c>
      <c r="C128" s="225">
        <v>3978118.1</v>
      </c>
      <c r="D128" s="74">
        <f t="shared" si="14"/>
        <v>3979000</v>
      </c>
      <c r="E128" s="74">
        <f t="shared" si="10"/>
        <v>4376000</v>
      </c>
      <c r="F128" s="74">
        <f t="shared" si="11"/>
        <v>5208000</v>
      </c>
      <c r="G128" s="74">
        <f t="shared" si="12"/>
        <v>5729000</v>
      </c>
      <c r="H128" s="74">
        <f t="shared" si="13"/>
        <v>6301000</v>
      </c>
      <c r="I128" s="114">
        <v>6886000</v>
      </c>
    </row>
    <row r="129" spans="1:9" ht="19.899999999999999" customHeight="1">
      <c r="A129" s="17">
        <v>41</v>
      </c>
      <c r="B129" s="222" t="s">
        <v>1300</v>
      </c>
      <c r="C129" s="225">
        <v>4781920</v>
      </c>
      <c r="D129" s="74">
        <f t="shared" si="14"/>
        <v>4782000</v>
      </c>
      <c r="E129" s="74">
        <f t="shared" si="10"/>
        <v>5261000</v>
      </c>
      <c r="F129" s="74">
        <f t="shared" si="11"/>
        <v>6260000</v>
      </c>
      <c r="G129" s="74">
        <f t="shared" si="12"/>
        <v>6886000</v>
      </c>
      <c r="H129" s="74">
        <f t="shared" si="13"/>
        <v>7575000</v>
      </c>
      <c r="I129" s="114">
        <v>5023000</v>
      </c>
    </row>
    <row r="130" spans="1:9" ht="19.899999999999999" customHeight="1">
      <c r="A130" s="16">
        <v>42</v>
      </c>
      <c r="B130" s="222" t="s">
        <v>1301</v>
      </c>
      <c r="C130" s="118">
        <v>3488430.0000000005</v>
      </c>
      <c r="D130" s="74">
        <f t="shared" si="14"/>
        <v>3489000</v>
      </c>
      <c r="E130" s="74">
        <f t="shared" si="10"/>
        <v>3838000</v>
      </c>
      <c r="F130" s="74">
        <f t="shared" si="11"/>
        <v>4567000</v>
      </c>
      <c r="G130" s="74">
        <f t="shared" si="12"/>
        <v>5023000</v>
      </c>
      <c r="H130" s="74">
        <f t="shared" si="13"/>
        <v>5526000</v>
      </c>
      <c r="I130" s="114">
        <v>6247000</v>
      </c>
    </row>
    <row r="131" spans="1:9" ht="19.899999999999999" customHeight="1">
      <c r="A131" s="16">
        <v>43</v>
      </c>
      <c r="B131" s="2" t="s">
        <v>1302</v>
      </c>
      <c r="C131" s="118">
        <v>4337850</v>
      </c>
      <c r="D131" s="74">
        <f t="shared" si="14"/>
        <v>4338000</v>
      </c>
      <c r="E131" s="74">
        <f t="shared" si="10"/>
        <v>4772000</v>
      </c>
      <c r="F131" s="74">
        <f t="shared" si="11"/>
        <v>5679000</v>
      </c>
      <c r="G131" s="74">
        <f t="shared" si="12"/>
        <v>6247000</v>
      </c>
      <c r="H131" s="74">
        <f t="shared" si="13"/>
        <v>6871000</v>
      </c>
      <c r="I131" s="114">
        <v>6247000</v>
      </c>
    </row>
    <row r="132" spans="1:9" ht="19.899999999999999" customHeight="1">
      <c r="A132" s="17">
        <v>44</v>
      </c>
      <c r="B132" s="2" t="s">
        <v>1303</v>
      </c>
      <c r="C132" s="225">
        <v>4439490</v>
      </c>
      <c r="D132" s="74">
        <f t="shared" si="14"/>
        <v>4440000</v>
      </c>
      <c r="E132" s="74">
        <f t="shared" si="10"/>
        <v>4884000</v>
      </c>
      <c r="F132" s="74">
        <f t="shared" si="11"/>
        <v>5812000</v>
      </c>
      <c r="G132" s="74">
        <f t="shared" si="12"/>
        <v>6393000</v>
      </c>
      <c r="H132" s="74">
        <f t="shared" si="13"/>
        <v>7032000</v>
      </c>
      <c r="I132" s="114">
        <v>6393000</v>
      </c>
    </row>
    <row r="133" spans="1:9" ht="19.899999999999999" customHeight="1">
      <c r="A133" s="17">
        <v>45</v>
      </c>
      <c r="B133" s="2" t="s">
        <v>1304</v>
      </c>
      <c r="C133" s="225">
        <v>2409715</v>
      </c>
      <c r="D133" s="74">
        <f t="shared" si="14"/>
        <v>2410000</v>
      </c>
      <c r="E133" s="74">
        <f t="shared" si="10"/>
        <v>2651000</v>
      </c>
      <c r="F133" s="74">
        <f t="shared" si="11"/>
        <v>3155000</v>
      </c>
      <c r="G133" s="74">
        <f t="shared" si="12"/>
        <v>3470000</v>
      </c>
      <c r="H133" s="74">
        <f t="shared" si="13"/>
        <v>3817000</v>
      </c>
      <c r="I133" s="114">
        <v>3470000</v>
      </c>
    </row>
    <row r="134" spans="1:9" ht="19.899999999999999" customHeight="1">
      <c r="A134" s="16">
        <v>46</v>
      </c>
      <c r="B134" s="2" t="s">
        <v>1305</v>
      </c>
      <c r="C134" s="225">
        <v>4337850</v>
      </c>
      <c r="D134" s="74">
        <f t="shared" si="14"/>
        <v>4338000</v>
      </c>
      <c r="E134" s="74">
        <f t="shared" si="10"/>
        <v>4772000</v>
      </c>
      <c r="F134" s="74">
        <f t="shared" si="11"/>
        <v>5679000</v>
      </c>
      <c r="G134" s="74">
        <f t="shared" si="12"/>
        <v>6247000</v>
      </c>
      <c r="H134" s="74">
        <f t="shared" si="13"/>
        <v>6871000</v>
      </c>
      <c r="I134" s="114">
        <v>6247000</v>
      </c>
    </row>
    <row r="135" spans="1:9" ht="19.899999999999999" customHeight="1">
      <c r="A135" s="156">
        <v>47</v>
      </c>
      <c r="B135" s="2" t="s">
        <v>1306</v>
      </c>
      <c r="C135" s="225">
        <v>4439490</v>
      </c>
      <c r="D135" s="74">
        <f t="shared" si="14"/>
        <v>4440000</v>
      </c>
      <c r="E135" s="74">
        <f t="shared" si="10"/>
        <v>4884000</v>
      </c>
      <c r="F135" s="74">
        <f t="shared" si="11"/>
        <v>5812000</v>
      </c>
      <c r="G135" s="74">
        <f t="shared" si="12"/>
        <v>6393000</v>
      </c>
      <c r="H135" s="74">
        <f t="shared" si="13"/>
        <v>7032000</v>
      </c>
      <c r="I135" s="114"/>
    </row>
    <row r="136" spans="1:9" ht="19.899999999999999" customHeight="1">
      <c r="A136" s="16">
        <v>48</v>
      </c>
      <c r="B136" s="2" t="s">
        <v>1307</v>
      </c>
      <c r="C136" s="225">
        <v>2409716.1</v>
      </c>
      <c r="D136" s="74">
        <f t="shared" si="14"/>
        <v>2410000</v>
      </c>
      <c r="E136" s="74">
        <f t="shared" si="10"/>
        <v>2651000</v>
      </c>
      <c r="F136" s="74">
        <f t="shared" si="11"/>
        <v>3155000</v>
      </c>
      <c r="G136" s="74">
        <f t="shared" si="12"/>
        <v>3470000</v>
      </c>
      <c r="H136" s="74">
        <f t="shared" si="13"/>
        <v>3817000</v>
      </c>
      <c r="I136" s="114">
        <v>6393000</v>
      </c>
    </row>
    <row r="137" spans="1:9" ht="19.899999999999999" customHeight="1">
      <c r="A137" s="16">
        <v>49</v>
      </c>
      <c r="B137" s="2" t="s">
        <v>1308</v>
      </c>
      <c r="C137" s="225">
        <v>4776476.1000000006</v>
      </c>
      <c r="D137" s="74">
        <f t="shared" si="14"/>
        <v>4777000</v>
      </c>
      <c r="E137" s="74">
        <f t="shared" si="10"/>
        <v>5255000</v>
      </c>
      <c r="F137" s="74">
        <f t="shared" si="11"/>
        <v>6253000</v>
      </c>
      <c r="G137" s="74">
        <f t="shared" si="12"/>
        <v>6878000</v>
      </c>
      <c r="H137" s="74">
        <f t="shared" si="13"/>
        <v>7566000</v>
      </c>
      <c r="I137" s="114">
        <v>3470000</v>
      </c>
    </row>
    <row r="138" spans="1:9" ht="19.899999999999999" customHeight="1">
      <c r="A138" s="16">
        <v>50</v>
      </c>
      <c r="B138" s="2" t="s">
        <v>1309</v>
      </c>
      <c r="C138" s="225">
        <v>4439490</v>
      </c>
      <c r="D138" s="74">
        <f t="shared" si="14"/>
        <v>4440000</v>
      </c>
      <c r="E138" s="74">
        <f t="shared" si="10"/>
        <v>4884000</v>
      </c>
      <c r="F138" s="74">
        <f t="shared" si="11"/>
        <v>5812000</v>
      </c>
      <c r="G138" s="74">
        <f t="shared" si="12"/>
        <v>6393000</v>
      </c>
      <c r="H138" s="74">
        <f t="shared" si="13"/>
        <v>7032000</v>
      </c>
      <c r="I138" s="114">
        <v>6878000</v>
      </c>
    </row>
    <row r="139" spans="1:9" ht="19.899999999999999" customHeight="1">
      <c r="A139" s="16">
        <v>51</v>
      </c>
      <c r="B139" s="2" t="s">
        <v>1310</v>
      </c>
      <c r="C139" s="225">
        <v>2409716.1</v>
      </c>
      <c r="D139" s="74">
        <f t="shared" si="14"/>
        <v>2410000</v>
      </c>
      <c r="E139" s="74">
        <f t="shared" si="10"/>
        <v>2651000</v>
      </c>
      <c r="F139" s="74">
        <f t="shared" si="11"/>
        <v>3155000</v>
      </c>
      <c r="G139" s="74">
        <f t="shared" si="12"/>
        <v>3470000</v>
      </c>
      <c r="H139" s="74">
        <f t="shared" si="13"/>
        <v>3817000</v>
      </c>
      <c r="I139" s="114">
        <v>6393000</v>
      </c>
    </row>
    <row r="140" spans="1:9" ht="19.899999999999999" customHeight="1">
      <c r="A140" s="16">
        <v>52</v>
      </c>
      <c r="B140" s="2" t="s">
        <v>1311</v>
      </c>
      <c r="C140" s="225">
        <v>4337850</v>
      </c>
      <c r="D140" s="74">
        <f t="shared" si="14"/>
        <v>4338000</v>
      </c>
      <c r="E140" s="74">
        <f t="shared" si="10"/>
        <v>4772000</v>
      </c>
      <c r="F140" s="74">
        <f t="shared" si="11"/>
        <v>5679000</v>
      </c>
      <c r="G140" s="74">
        <f t="shared" si="12"/>
        <v>6247000</v>
      </c>
      <c r="H140" s="74">
        <f t="shared" si="13"/>
        <v>6871000</v>
      </c>
      <c r="I140" s="114">
        <v>3470000</v>
      </c>
    </row>
    <row r="141" spans="1:9" ht="19.899999999999999" customHeight="1">
      <c r="A141" s="16">
        <v>53</v>
      </c>
      <c r="B141" s="2" t="s">
        <v>1312</v>
      </c>
      <c r="C141" s="225">
        <v>4439490</v>
      </c>
      <c r="D141" s="74">
        <f t="shared" si="14"/>
        <v>4440000</v>
      </c>
      <c r="E141" s="74">
        <f t="shared" si="10"/>
        <v>4884000</v>
      </c>
      <c r="F141" s="74">
        <f t="shared" si="11"/>
        <v>5812000</v>
      </c>
      <c r="G141" s="74">
        <f t="shared" si="12"/>
        <v>6393000</v>
      </c>
      <c r="H141" s="74">
        <f t="shared" si="13"/>
        <v>7032000</v>
      </c>
      <c r="I141" s="114">
        <v>10334000</v>
      </c>
    </row>
    <row r="142" spans="1:9" ht="19.899999999999999" customHeight="1">
      <c r="A142" s="16">
        <v>54</v>
      </c>
      <c r="B142" s="2" t="s">
        <v>1313</v>
      </c>
      <c r="C142" s="225">
        <v>2409716.1</v>
      </c>
      <c r="D142" s="74">
        <f t="shared" si="14"/>
        <v>2410000</v>
      </c>
      <c r="E142" s="74">
        <f t="shared" si="10"/>
        <v>2651000</v>
      </c>
      <c r="F142" s="74">
        <f t="shared" si="11"/>
        <v>3155000</v>
      </c>
      <c r="G142" s="74">
        <f t="shared" si="12"/>
        <v>3470000</v>
      </c>
      <c r="H142" s="74">
        <f t="shared" si="13"/>
        <v>3817000</v>
      </c>
      <c r="I142" s="114">
        <v>3482000</v>
      </c>
    </row>
    <row r="143" spans="1:9" ht="19.899999999999999" customHeight="1">
      <c r="A143" s="16">
        <v>55</v>
      </c>
      <c r="B143" s="2" t="s">
        <v>1314</v>
      </c>
      <c r="C143" s="118">
        <v>8707766.1000000015</v>
      </c>
      <c r="D143" s="74">
        <f t="shared" si="14"/>
        <v>8708000</v>
      </c>
      <c r="E143" s="74">
        <f t="shared" si="10"/>
        <v>9579000</v>
      </c>
      <c r="F143" s="74">
        <f t="shared" si="11"/>
        <v>11399000</v>
      </c>
      <c r="G143" s="74">
        <f t="shared" si="12"/>
        <v>12539000</v>
      </c>
      <c r="H143" s="74">
        <f t="shared" si="13"/>
        <v>13793000</v>
      </c>
      <c r="I143" s="114">
        <v>5567000</v>
      </c>
    </row>
    <row r="144" spans="1:9" ht="19.899999999999999" customHeight="1">
      <c r="A144" s="16">
        <v>56</v>
      </c>
      <c r="B144" s="2" t="s">
        <v>1315</v>
      </c>
      <c r="C144" s="118">
        <v>4875090</v>
      </c>
      <c r="D144" s="74">
        <f t="shared" si="14"/>
        <v>4876000</v>
      </c>
      <c r="E144" s="74">
        <f t="shared" si="10"/>
        <v>5363000</v>
      </c>
      <c r="F144" s="74">
        <f t="shared" si="11"/>
        <v>6382000</v>
      </c>
      <c r="G144" s="74">
        <f t="shared" si="12"/>
        <v>7020000</v>
      </c>
      <c r="H144" s="74">
        <f t="shared" si="13"/>
        <v>7722000</v>
      </c>
      <c r="I144" s="114">
        <v>5567000</v>
      </c>
    </row>
    <row r="146" spans="1:10" ht="19.899999999999999" customHeight="1">
      <c r="A146" s="64" t="s">
        <v>775</v>
      </c>
      <c r="C146" s="22"/>
      <c r="D146" s="117"/>
      <c r="E146" s="117"/>
      <c r="F146" s="117"/>
      <c r="G146" s="117"/>
      <c r="H146" s="117"/>
      <c r="I146" s="113">
        <v>0</v>
      </c>
      <c r="J146" s="75">
        <v>0</v>
      </c>
    </row>
    <row r="147" spans="1:10" ht="30.75" thickBot="1">
      <c r="A147" s="51" t="s">
        <v>15</v>
      </c>
      <c r="B147" s="221" t="s">
        <v>62</v>
      </c>
      <c r="C147" s="51"/>
      <c r="D147" s="116" t="s">
        <v>2312</v>
      </c>
      <c r="E147" s="116" t="s">
        <v>21</v>
      </c>
      <c r="F147" s="116" t="s">
        <v>2309</v>
      </c>
      <c r="G147" s="116" t="s">
        <v>2311</v>
      </c>
      <c r="H147" s="116" t="s">
        <v>498</v>
      </c>
      <c r="I147" s="56" t="s">
        <v>60</v>
      </c>
      <c r="J147" s="56" t="s">
        <v>61</v>
      </c>
    </row>
    <row r="148" spans="1:10" ht="19.899999999999999" customHeight="1">
      <c r="A148" s="16">
        <v>1</v>
      </c>
      <c r="B148" s="226" t="s">
        <v>127</v>
      </c>
      <c r="C148" s="216">
        <v>571120</v>
      </c>
      <c r="D148" s="74">
        <f t="shared" ref="D148" si="15">ROUNDUP(C148,-3)</f>
        <v>572000</v>
      </c>
      <c r="E148" s="74">
        <f t="shared" ref="E148:E169" si="16">ROUNDUP($C148*1.1,-3)</f>
        <v>629000</v>
      </c>
      <c r="F148" s="74">
        <f t="shared" ref="F148:F169" si="17">ROUNDUP($C148*1.1*1.19,-3)</f>
        <v>748000</v>
      </c>
      <c r="G148" s="74">
        <f t="shared" ref="G148:G169" si="18">ROUNDUP($C148*1.1*1.19*1.1,-3)</f>
        <v>823000</v>
      </c>
      <c r="H148" s="74">
        <f t="shared" ref="H148:H169" si="19">ROUNDUP($C148*1.1*1.19*1.1*1.1,-3)</f>
        <v>905000</v>
      </c>
      <c r="I148" s="75">
        <v>905000</v>
      </c>
      <c r="J148" s="75">
        <v>996000</v>
      </c>
    </row>
    <row r="149" spans="1:10" ht="19.899999999999999" customHeight="1">
      <c r="A149" s="17">
        <v>2</v>
      </c>
      <c r="B149" s="227" t="s">
        <v>126</v>
      </c>
      <c r="C149" s="217">
        <v>1773750</v>
      </c>
      <c r="D149" s="74">
        <f t="shared" ref="D149:D169" si="20">ROUNDUP(C149,-3)</f>
        <v>1774000</v>
      </c>
      <c r="E149" s="74">
        <f t="shared" si="16"/>
        <v>1952000</v>
      </c>
      <c r="F149" s="74">
        <f t="shared" si="17"/>
        <v>2322000</v>
      </c>
      <c r="G149" s="74">
        <f t="shared" si="18"/>
        <v>2555000</v>
      </c>
      <c r="H149" s="74">
        <f t="shared" si="19"/>
        <v>2810000</v>
      </c>
      <c r="I149" s="75">
        <v>3091000</v>
      </c>
      <c r="J149" s="75">
        <v>3400000</v>
      </c>
    </row>
    <row r="150" spans="1:10" ht="19.899999999999999" customHeight="1">
      <c r="A150" s="17">
        <v>3</v>
      </c>
      <c r="B150" s="226" t="s">
        <v>125</v>
      </c>
      <c r="C150" s="217">
        <v>1092025</v>
      </c>
      <c r="D150" s="74">
        <f t="shared" si="20"/>
        <v>1093000</v>
      </c>
      <c r="E150" s="74">
        <f t="shared" si="16"/>
        <v>1202000</v>
      </c>
      <c r="F150" s="74">
        <f t="shared" si="17"/>
        <v>1430000</v>
      </c>
      <c r="G150" s="74">
        <f t="shared" si="18"/>
        <v>1573000</v>
      </c>
      <c r="H150" s="74">
        <f t="shared" si="19"/>
        <v>1730000</v>
      </c>
      <c r="I150" s="75">
        <v>1730000</v>
      </c>
      <c r="J150" s="75">
        <v>1903000</v>
      </c>
    </row>
    <row r="151" spans="1:10" ht="19.899999999999999" customHeight="1">
      <c r="A151" s="16">
        <v>4</v>
      </c>
      <c r="B151" s="144" t="s">
        <v>1316</v>
      </c>
      <c r="C151" s="217">
        <v>1206975</v>
      </c>
      <c r="D151" s="74">
        <f t="shared" si="20"/>
        <v>1207000</v>
      </c>
      <c r="E151" s="74">
        <f t="shared" si="16"/>
        <v>1328000</v>
      </c>
      <c r="F151" s="74">
        <f t="shared" si="17"/>
        <v>1580000</v>
      </c>
      <c r="G151" s="74">
        <f t="shared" si="18"/>
        <v>1738000</v>
      </c>
      <c r="H151" s="74">
        <f t="shared" si="19"/>
        <v>1912000</v>
      </c>
      <c r="I151" s="75">
        <v>1912000</v>
      </c>
      <c r="J151" s="75">
        <v>2103000</v>
      </c>
    </row>
    <row r="152" spans="1:10" ht="30">
      <c r="A152" s="17">
        <v>5</v>
      </c>
      <c r="B152" s="144" t="s">
        <v>1317</v>
      </c>
      <c r="C152" s="217">
        <v>1893045.0000000002</v>
      </c>
      <c r="D152" s="74">
        <f t="shared" si="20"/>
        <v>1894000</v>
      </c>
      <c r="E152" s="74">
        <f t="shared" si="16"/>
        <v>2083000</v>
      </c>
      <c r="F152" s="74">
        <f t="shared" si="17"/>
        <v>2478000</v>
      </c>
      <c r="G152" s="74">
        <f t="shared" si="18"/>
        <v>2726000</v>
      </c>
      <c r="H152" s="74">
        <f t="shared" si="19"/>
        <v>2999000</v>
      </c>
      <c r="I152" s="75">
        <v>2999000</v>
      </c>
      <c r="J152" s="75">
        <v>3299000</v>
      </c>
    </row>
    <row r="153" spans="1:10" ht="30">
      <c r="A153" s="17">
        <v>6</v>
      </c>
      <c r="B153" s="144" t="s">
        <v>1318</v>
      </c>
      <c r="C153" s="217">
        <v>1397550</v>
      </c>
      <c r="D153" s="74">
        <f t="shared" si="20"/>
        <v>1398000</v>
      </c>
      <c r="E153" s="74">
        <f t="shared" si="16"/>
        <v>1538000</v>
      </c>
      <c r="F153" s="74">
        <f t="shared" si="17"/>
        <v>1830000</v>
      </c>
      <c r="G153" s="74">
        <f t="shared" si="18"/>
        <v>2013000</v>
      </c>
      <c r="H153" s="74">
        <f t="shared" si="19"/>
        <v>2214000</v>
      </c>
      <c r="I153" s="75">
        <v>2214000</v>
      </c>
      <c r="J153" s="75">
        <v>2435000</v>
      </c>
    </row>
    <row r="154" spans="1:10" ht="30">
      <c r="A154" s="16">
        <v>7</v>
      </c>
      <c r="B154" s="144" t="s">
        <v>1319</v>
      </c>
      <c r="C154" s="217">
        <v>1893045.0000000002</v>
      </c>
      <c r="D154" s="74">
        <f t="shared" si="20"/>
        <v>1894000</v>
      </c>
      <c r="E154" s="74">
        <f t="shared" si="16"/>
        <v>2083000</v>
      </c>
      <c r="F154" s="74">
        <f t="shared" si="17"/>
        <v>2478000</v>
      </c>
      <c r="G154" s="74">
        <f t="shared" si="18"/>
        <v>2726000</v>
      </c>
      <c r="H154" s="74">
        <f t="shared" si="19"/>
        <v>2999000</v>
      </c>
      <c r="I154" s="75">
        <v>2999000</v>
      </c>
      <c r="J154" s="75">
        <v>3299000</v>
      </c>
    </row>
    <row r="155" spans="1:10" ht="30">
      <c r="A155" s="17">
        <v>8</v>
      </c>
      <c r="B155" s="144" t="s">
        <v>1320</v>
      </c>
      <c r="C155" s="217">
        <v>1397550</v>
      </c>
      <c r="D155" s="74">
        <f t="shared" si="20"/>
        <v>1398000</v>
      </c>
      <c r="E155" s="74">
        <f t="shared" si="16"/>
        <v>1538000</v>
      </c>
      <c r="F155" s="74">
        <f t="shared" si="17"/>
        <v>1830000</v>
      </c>
      <c r="G155" s="74">
        <f t="shared" si="18"/>
        <v>2013000</v>
      </c>
      <c r="H155" s="74">
        <f t="shared" si="19"/>
        <v>2214000</v>
      </c>
      <c r="I155" s="75">
        <v>2214000</v>
      </c>
      <c r="J155" s="75">
        <v>2435000</v>
      </c>
    </row>
    <row r="156" spans="1:10" ht="19.899999999999999" customHeight="1">
      <c r="A156" s="17">
        <v>9</v>
      </c>
      <c r="B156" s="144" t="s">
        <v>1321</v>
      </c>
      <c r="C156" s="217">
        <v>1206975</v>
      </c>
      <c r="D156" s="74">
        <f t="shared" si="20"/>
        <v>1207000</v>
      </c>
      <c r="E156" s="74">
        <f t="shared" si="16"/>
        <v>1328000</v>
      </c>
      <c r="F156" s="74">
        <f t="shared" si="17"/>
        <v>1580000</v>
      </c>
      <c r="G156" s="74">
        <f t="shared" si="18"/>
        <v>1738000</v>
      </c>
      <c r="H156" s="74">
        <f t="shared" si="19"/>
        <v>1912000</v>
      </c>
      <c r="I156" s="75">
        <v>1912000</v>
      </c>
      <c r="J156" s="75">
        <v>2103000</v>
      </c>
    </row>
    <row r="157" spans="1:10" ht="30">
      <c r="A157" s="16">
        <v>10</v>
      </c>
      <c r="B157" s="144" t="s">
        <v>1322</v>
      </c>
      <c r="C157" s="217">
        <v>1893045.0000000002</v>
      </c>
      <c r="D157" s="74">
        <f t="shared" si="20"/>
        <v>1894000</v>
      </c>
      <c r="E157" s="74">
        <f t="shared" si="16"/>
        <v>2083000</v>
      </c>
      <c r="F157" s="74">
        <f t="shared" si="17"/>
        <v>2478000</v>
      </c>
      <c r="G157" s="74">
        <f t="shared" si="18"/>
        <v>2726000</v>
      </c>
      <c r="H157" s="74">
        <f t="shared" si="19"/>
        <v>2999000</v>
      </c>
      <c r="I157" s="75">
        <v>2999000</v>
      </c>
      <c r="J157" s="75">
        <v>3299000</v>
      </c>
    </row>
    <row r="158" spans="1:10" ht="30">
      <c r="A158" s="17">
        <v>11</v>
      </c>
      <c r="B158" s="144" t="s">
        <v>1323</v>
      </c>
      <c r="C158" s="217">
        <v>1397550</v>
      </c>
      <c r="D158" s="74">
        <f t="shared" si="20"/>
        <v>1398000</v>
      </c>
      <c r="E158" s="74">
        <f t="shared" si="16"/>
        <v>1538000</v>
      </c>
      <c r="F158" s="74">
        <f t="shared" si="17"/>
        <v>1830000</v>
      </c>
      <c r="G158" s="74">
        <f t="shared" si="18"/>
        <v>2013000</v>
      </c>
      <c r="H158" s="74">
        <f t="shared" si="19"/>
        <v>2214000</v>
      </c>
      <c r="I158" s="75">
        <v>2214000</v>
      </c>
      <c r="J158" s="75">
        <v>2435000</v>
      </c>
    </row>
    <row r="159" spans="1:10" ht="30">
      <c r="A159" s="17">
        <v>12</v>
      </c>
      <c r="B159" s="144" t="s">
        <v>1324</v>
      </c>
      <c r="C159" s="217">
        <v>1893045.0000000002</v>
      </c>
      <c r="D159" s="74">
        <f t="shared" si="20"/>
        <v>1894000</v>
      </c>
      <c r="E159" s="74">
        <f t="shared" si="16"/>
        <v>2083000</v>
      </c>
      <c r="F159" s="74">
        <f t="shared" si="17"/>
        <v>2478000</v>
      </c>
      <c r="G159" s="74">
        <f t="shared" si="18"/>
        <v>2726000</v>
      </c>
      <c r="H159" s="74">
        <f t="shared" si="19"/>
        <v>2999000</v>
      </c>
      <c r="I159" s="75">
        <v>2999000</v>
      </c>
      <c r="J159" s="75">
        <v>3299000</v>
      </c>
    </row>
    <row r="160" spans="1:10" ht="30">
      <c r="A160" s="16">
        <v>13</v>
      </c>
      <c r="B160" s="144" t="s">
        <v>1325</v>
      </c>
      <c r="C160" s="217">
        <v>1397550</v>
      </c>
      <c r="D160" s="74">
        <f t="shared" si="20"/>
        <v>1398000</v>
      </c>
      <c r="E160" s="74">
        <f t="shared" si="16"/>
        <v>1538000</v>
      </c>
      <c r="F160" s="74">
        <f t="shared" si="17"/>
        <v>1830000</v>
      </c>
      <c r="G160" s="74">
        <f t="shared" si="18"/>
        <v>2013000</v>
      </c>
      <c r="H160" s="74">
        <f t="shared" si="19"/>
        <v>2214000</v>
      </c>
      <c r="I160" s="75">
        <v>2214000</v>
      </c>
      <c r="J160" s="75">
        <v>2435000</v>
      </c>
    </row>
    <row r="161" spans="1:10" ht="19.899999999999999" customHeight="1">
      <c r="A161" s="17">
        <v>14</v>
      </c>
      <c r="B161" s="144" t="s">
        <v>128</v>
      </c>
      <c r="C161" s="217">
        <v>1858560.0000000002</v>
      </c>
      <c r="D161" s="74">
        <f t="shared" si="20"/>
        <v>1859000</v>
      </c>
      <c r="E161" s="74">
        <f t="shared" si="16"/>
        <v>2045000</v>
      </c>
      <c r="F161" s="74">
        <f t="shared" si="17"/>
        <v>2433000</v>
      </c>
      <c r="G161" s="74">
        <f t="shared" si="18"/>
        <v>2677000</v>
      </c>
      <c r="H161" s="74">
        <f t="shared" si="19"/>
        <v>2944000</v>
      </c>
      <c r="I161" s="75">
        <v>2944000</v>
      </c>
      <c r="J161" s="75">
        <v>3239000</v>
      </c>
    </row>
    <row r="162" spans="1:10" ht="19.899999999999999" customHeight="1">
      <c r="A162" s="17">
        <v>15</v>
      </c>
      <c r="B162" s="144" t="s">
        <v>129</v>
      </c>
      <c r="C162" s="217">
        <v>1209395</v>
      </c>
      <c r="D162" s="74">
        <f t="shared" si="20"/>
        <v>1210000</v>
      </c>
      <c r="E162" s="74">
        <f t="shared" si="16"/>
        <v>1331000</v>
      </c>
      <c r="F162" s="74">
        <f t="shared" si="17"/>
        <v>1584000</v>
      </c>
      <c r="G162" s="74">
        <f t="shared" si="18"/>
        <v>1742000</v>
      </c>
      <c r="H162" s="74">
        <f t="shared" si="19"/>
        <v>1916000</v>
      </c>
      <c r="I162" s="75">
        <v>1916000</v>
      </c>
      <c r="J162" s="75">
        <v>2108000</v>
      </c>
    </row>
    <row r="163" spans="1:10" ht="19.899999999999999" customHeight="1">
      <c r="A163" s="16">
        <v>16</v>
      </c>
      <c r="B163" s="144" t="s">
        <v>130</v>
      </c>
      <c r="C163" s="217">
        <v>974655.00000000012</v>
      </c>
      <c r="D163" s="74">
        <f t="shared" si="20"/>
        <v>975000</v>
      </c>
      <c r="E163" s="74">
        <f t="shared" si="16"/>
        <v>1073000</v>
      </c>
      <c r="F163" s="74">
        <f t="shared" si="17"/>
        <v>1276000</v>
      </c>
      <c r="G163" s="74">
        <f t="shared" si="18"/>
        <v>1404000</v>
      </c>
      <c r="H163" s="74">
        <f t="shared" si="19"/>
        <v>1544000</v>
      </c>
      <c r="I163" s="75">
        <v>1544000</v>
      </c>
      <c r="J163" s="75">
        <v>1699000</v>
      </c>
    </row>
    <row r="164" spans="1:10" ht="19.899999999999999" customHeight="1">
      <c r="A164" s="17">
        <v>17</v>
      </c>
      <c r="B164" s="144" t="s">
        <v>131</v>
      </c>
      <c r="C164" s="217">
        <v>1573000.0000000002</v>
      </c>
      <c r="D164" s="74">
        <f t="shared" si="20"/>
        <v>1573000</v>
      </c>
      <c r="E164" s="74">
        <f t="shared" si="16"/>
        <v>1731000</v>
      </c>
      <c r="F164" s="74">
        <f t="shared" si="17"/>
        <v>2060000</v>
      </c>
      <c r="G164" s="74">
        <f t="shared" si="18"/>
        <v>2265000</v>
      </c>
      <c r="H164" s="74">
        <f t="shared" si="19"/>
        <v>2492000</v>
      </c>
      <c r="I164" s="75">
        <v>3015000</v>
      </c>
      <c r="J164" s="75">
        <v>3317000</v>
      </c>
    </row>
    <row r="165" spans="1:10" ht="19.899999999999999" customHeight="1">
      <c r="A165" s="17">
        <v>18</v>
      </c>
      <c r="B165" s="144" t="s">
        <v>1124</v>
      </c>
      <c r="C165" s="217">
        <v>971025.00000000012</v>
      </c>
      <c r="D165" s="74">
        <f t="shared" si="20"/>
        <v>972000</v>
      </c>
      <c r="E165" s="74">
        <f t="shared" si="16"/>
        <v>1069000</v>
      </c>
      <c r="F165" s="74">
        <f t="shared" si="17"/>
        <v>1272000</v>
      </c>
      <c r="G165" s="74">
        <f t="shared" si="18"/>
        <v>1399000</v>
      </c>
      <c r="H165" s="74">
        <f t="shared" si="19"/>
        <v>1538000</v>
      </c>
      <c r="I165" s="75"/>
      <c r="J165" s="75"/>
    </row>
    <row r="166" spans="1:10" ht="19.899999999999999" customHeight="1">
      <c r="A166" s="16">
        <v>19</v>
      </c>
      <c r="B166" s="144" t="s">
        <v>1326</v>
      </c>
      <c r="C166" s="217">
        <v>1155000</v>
      </c>
      <c r="D166" s="74">
        <f t="shared" si="20"/>
        <v>1155000</v>
      </c>
      <c r="E166" s="74">
        <f t="shared" si="16"/>
        <v>1271000</v>
      </c>
      <c r="F166" s="74">
        <f t="shared" si="17"/>
        <v>1512000</v>
      </c>
      <c r="G166" s="74">
        <f t="shared" si="18"/>
        <v>1664000</v>
      </c>
      <c r="H166" s="74">
        <f t="shared" si="19"/>
        <v>1830000</v>
      </c>
      <c r="I166" s="75">
        <v>1816000</v>
      </c>
      <c r="J166" s="75">
        <v>1998000</v>
      </c>
    </row>
    <row r="167" spans="1:10" ht="19.899999999999999" customHeight="1">
      <c r="A167" s="17">
        <v>20</v>
      </c>
      <c r="B167" s="144" t="s">
        <v>132</v>
      </c>
      <c r="C167" s="217">
        <v>1146475</v>
      </c>
      <c r="D167" s="74">
        <f t="shared" si="20"/>
        <v>1147000</v>
      </c>
      <c r="E167" s="74">
        <f t="shared" si="16"/>
        <v>1262000</v>
      </c>
      <c r="F167" s="74">
        <f t="shared" si="17"/>
        <v>1501000</v>
      </c>
      <c r="G167" s="74">
        <f t="shared" si="18"/>
        <v>1651000</v>
      </c>
      <c r="H167" s="74">
        <f t="shared" si="19"/>
        <v>1816000</v>
      </c>
      <c r="I167" s="75">
        <v>1731000</v>
      </c>
      <c r="J167" s="75">
        <v>1904000</v>
      </c>
    </row>
    <row r="168" spans="1:10" ht="19.899999999999999" customHeight="1">
      <c r="A168" s="16">
        <v>21</v>
      </c>
      <c r="B168" s="144" t="s">
        <v>133</v>
      </c>
      <c r="C168" s="217">
        <v>1092630</v>
      </c>
      <c r="D168" s="74">
        <f t="shared" si="20"/>
        <v>1093000</v>
      </c>
      <c r="E168" s="74">
        <f t="shared" si="16"/>
        <v>1202000</v>
      </c>
      <c r="F168" s="74">
        <f t="shared" si="17"/>
        <v>1431000</v>
      </c>
      <c r="G168" s="74">
        <f t="shared" si="18"/>
        <v>1574000</v>
      </c>
      <c r="H168" s="74">
        <f t="shared" si="19"/>
        <v>1731000</v>
      </c>
      <c r="I168" s="75">
        <v>1534000</v>
      </c>
      <c r="J168" s="75">
        <v>1687000</v>
      </c>
    </row>
    <row r="169" spans="1:10" ht="19.899999999999999" customHeight="1">
      <c r="A169" s="17">
        <v>22</v>
      </c>
      <c r="B169" s="144" t="s">
        <v>1327</v>
      </c>
      <c r="C169" s="217">
        <v>968000.00000000012</v>
      </c>
      <c r="D169" s="74">
        <f t="shared" si="20"/>
        <v>968000</v>
      </c>
      <c r="E169" s="74">
        <f t="shared" si="16"/>
        <v>1065000</v>
      </c>
      <c r="F169" s="74">
        <f t="shared" si="17"/>
        <v>1268000</v>
      </c>
      <c r="G169" s="74">
        <f t="shared" si="18"/>
        <v>1394000</v>
      </c>
      <c r="H169" s="74">
        <f t="shared" si="19"/>
        <v>1534000</v>
      </c>
      <c r="I169" s="72"/>
      <c r="J169" s="72"/>
    </row>
    <row r="170" spans="1:10" ht="19.899999999999999" customHeight="1">
      <c r="C170" s="99"/>
    </row>
    <row r="171" spans="1:10" ht="19.899999999999999" customHeight="1">
      <c r="A171" s="228" t="s">
        <v>776</v>
      </c>
      <c r="B171" s="229"/>
      <c r="C171" s="230"/>
      <c r="D171" s="230"/>
      <c r="E171" s="230"/>
      <c r="F171" s="230"/>
      <c r="G171" s="230"/>
      <c r="H171" s="230"/>
      <c r="I171" s="231"/>
      <c r="J171" s="232"/>
    </row>
    <row r="172" spans="1:10" ht="15.75">
      <c r="A172" s="228" t="s">
        <v>777</v>
      </c>
      <c r="B172" s="229"/>
      <c r="C172" s="233"/>
      <c r="D172" s="230"/>
      <c r="E172" s="230"/>
      <c r="F172" s="230"/>
      <c r="G172" s="230"/>
      <c r="H172" s="230"/>
      <c r="I172" s="231"/>
      <c r="J172" s="232"/>
    </row>
    <row r="173" spans="1:10" ht="30.75" thickBot="1">
      <c r="A173" s="51" t="s">
        <v>15</v>
      </c>
      <c r="B173" s="221" t="s">
        <v>62</v>
      </c>
      <c r="C173" s="51"/>
      <c r="D173" s="116" t="s">
        <v>2312</v>
      </c>
      <c r="E173" s="116" t="s">
        <v>21</v>
      </c>
      <c r="F173" s="116" t="s">
        <v>2309</v>
      </c>
      <c r="G173" s="116" t="s">
        <v>2311</v>
      </c>
      <c r="H173" s="116" t="s">
        <v>498</v>
      </c>
      <c r="I173" s="56" t="s">
        <v>60</v>
      </c>
      <c r="J173" s="56" t="s">
        <v>61</v>
      </c>
    </row>
    <row r="174" spans="1:10" ht="19.899999999999999" customHeight="1">
      <c r="A174" s="234">
        <v>1</v>
      </c>
      <c r="B174" s="222" t="s">
        <v>1328</v>
      </c>
      <c r="C174" s="235">
        <v>4941090</v>
      </c>
      <c r="D174" s="236">
        <f t="shared" ref="D174" si="21">ROUNDUP(C174,-3)</f>
        <v>4942000</v>
      </c>
      <c r="E174" s="236">
        <f t="shared" ref="E174:E223" si="22">ROUNDUP($C174*1.1,-3)</f>
        <v>5436000</v>
      </c>
      <c r="F174" s="236">
        <f t="shared" ref="F174:F223" si="23">ROUNDUP($C174*1.1*1.19,-3)</f>
        <v>6468000</v>
      </c>
      <c r="G174" s="236">
        <f t="shared" ref="G174:G223" si="24">ROUNDUP($C174*1.1*1.19*1.1,-3)</f>
        <v>7115000</v>
      </c>
      <c r="H174" s="236">
        <f t="shared" ref="H174:H223" si="25">ROUNDUP($C174*1.1*1.19*1.1*1.1,-3)</f>
        <v>7827000</v>
      </c>
      <c r="I174" s="232">
        <v>7827000</v>
      </c>
      <c r="J174" s="232">
        <v>8609000</v>
      </c>
    </row>
    <row r="175" spans="1:10" ht="19.899999999999999" customHeight="1">
      <c r="A175" s="234">
        <v>2</v>
      </c>
      <c r="B175" s="222" t="s">
        <v>1329</v>
      </c>
      <c r="C175" s="235">
        <v>4941090</v>
      </c>
      <c r="D175" s="236">
        <f t="shared" ref="D175:D223" si="26">ROUNDUP(C175,-3)</f>
        <v>4942000</v>
      </c>
      <c r="E175" s="236">
        <f t="shared" si="22"/>
        <v>5436000</v>
      </c>
      <c r="F175" s="236">
        <f t="shared" si="23"/>
        <v>6468000</v>
      </c>
      <c r="G175" s="236">
        <f t="shared" si="24"/>
        <v>7115000</v>
      </c>
      <c r="H175" s="236">
        <f t="shared" si="25"/>
        <v>7827000</v>
      </c>
      <c r="I175" s="232">
        <v>9809000</v>
      </c>
      <c r="J175" s="232">
        <v>10789000</v>
      </c>
    </row>
    <row r="176" spans="1:10" ht="19.899999999999999" customHeight="1">
      <c r="A176" s="234">
        <v>3</v>
      </c>
      <c r="B176" s="222" t="s">
        <v>1330</v>
      </c>
      <c r="C176" s="235">
        <v>3449160.0000000005</v>
      </c>
      <c r="D176" s="236">
        <f t="shared" si="26"/>
        <v>3450000</v>
      </c>
      <c r="E176" s="236">
        <f t="shared" si="22"/>
        <v>3795000</v>
      </c>
      <c r="F176" s="236">
        <f t="shared" si="23"/>
        <v>4515000</v>
      </c>
      <c r="G176" s="236">
        <f t="shared" si="24"/>
        <v>4967000</v>
      </c>
      <c r="H176" s="236">
        <f t="shared" si="25"/>
        <v>5464000</v>
      </c>
      <c r="I176" s="232">
        <v>5464000</v>
      </c>
      <c r="J176" s="232">
        <v>6010000</v>
      </c>
    </row>
    <row r="177" spans="1:10" ht="19.899999999999999" customHeight="1">
      <c r="A177" s="234">
        <v>4</v>
      </c>
      <c r="B177" s="222" t="s">
        <v>1331</v>
      </c>
      <c r="C177" s="235">
        <v>4741110</v>
      </c>
      <c r="D177" s="236">
        <f t="shared" si="26"/>
        <v>4742000</v>
      </c>
      <c r="E177" s="236">
        <f t="shared" si="22"/>
        <v>5216000</v>
      </c>
      <c r="F177" s="236">
        <f t="shared" si="23"/>
        <v>6207000</v>
      </c>
      <c r="G177" s="236">
        <f t="shared" si="24"/>
        <v>6827000</v>
      </c>
      <c r="H177" s="236">
        <f t="shared" si="25"/>
        <v>7510000</v>
      </c>
      <c r="I177" s="232">
        <v>11767000</v>
      </c>
      <c r="J177" s="232">
        <v>12944000</v>
      </c>
    </row>
    <row r="178" spans="1:10" ht="19.899999999999999" customHeight="1">
      <c r="A178" s="234">
        <v>5</v>
      </c>
      <c r="B178" s="222" t="s">
        <v>1332</v>
      </c>
      <c r="C178" s="235">
        <v>3449160.0000000005</v>
      </c>
      <c r="D178" s="236">
        <f t="shared" si="26"/>
        <v>3450000</v>
      </c>
      <c r="E178" s="236">
        <f t="shared" si="22"/>
        <v>3795000</v>
      </c>
      <c r="F178" s="236">
        <f t="shared" si="23"/>
        <v>4515000</v>
      </c>
      <c r="G178" s="236">
        <f t="shared" si="24"/>
        <v>4967000</v>
      </c>
      <c r="H178" s="236">
        <f t="shared" si="25"/>
        <v>5464000</v>
      </c>
      <c r="I178" s="232">
        <v>8223000</v>
      </c>
      <c r="J178" s="232">
        <v>9046000</v>
      </c>
    </row>
    <row r="179" spans="1:10" ht="19.899999999999999" customHeight="1">
      <c r="A179" s="234">
        <v>6</v>
      </c>
      <c r="B179" s="222" t="s">
        <v>1333</v>
      </c>
      <c r="C179" s="235">
        <v>4941090</v>
      </c>
      <c r="D179" s="236">
        <f t="shared" si="26"/>
        <v>4942000</v>
      </c>
      <c r="E179" s="236">
        <f t="shared" si="22"/>
        <v>5436000</v>
      </c>
      <c r="F179" s="236">
        <f t="shared" si="23"/>
        <v>6468000</v>
      </c>
      <c r="G179" s="236">
        <f t="shared" si="24"/>
        <v>7115000</v>
      </c>
      <c r="H179" s="236">
        <f t="shared" si="25"/>
        <v>7827000</v>
      </c>
      <c r="I179" s="232">
        <v>11767000</v>
      </c>
      <c r="J179" s="232">
        <v>12944000</v>
      </c>
    </row>
    <row r="180" spans="1:10" ht="19.899999999999999" customHeight="1">
      <c r="A180" s="234">
        <v>7</v>
      </c>
      <c r="B180" s="223" t="s">
        <v>1334</v>
      </c>
      <c r="C180" s="237">
        <v>6075900</v>
      </c>
      <c r="D180" s="236">
        <f t="shared" si="26"/>
        <v>6076000</v>
      </c>
      <c r="E180" s="236">
        <f t="shared" si="22"/>
        <v>6684000</v>
      </c>
      <c r="F180" s="236">
        <f t="shared" si="23"/>
        <v>7954000</v>
      </c>
      <c r="G180" s="236">
        <f t="shared" si="24"/>
        <v>8749000</v>
      </c>
      <c r="H180" s="236">
        <f t="shared" si="25"/>
        <v>9624000</v>
      </c>
      <c r="I180" s="232">
        <v>11767000</v>
      </c>
      <c r="J180" s="232">
        <v>12944000</v>
      </c>
    </row>
    <row r="181" spans="1:10" ht="19.899999999999999" customHeight="1">
      <c r="A181" s="234">
        <v>8</v>
      </c>
      <c r="B181" s="222" t="s">
        <v>1335</v>
      </c>
      <c r="C181" s="235">
        <v>6869610.0000000009</v>
      </c>
      <c r="D181" s="236">
        <f t="shared" si="26"/>
        <v>6870000</v>
      </c>
      <c r="E181" s="236">
        <f t="shared" si="22"/>
        <v>7557000</v>
      </c>
      <c r="F181" s="236">
        <f t="shared" si="23"/>
        <v>8993000</v>
      </c>
      <c r="G181" s="236">
        <f t="shared" si="24"/>
        <v>9892000</v>
      </c>
      <c r="H181" s="236">
        <f t="shared" si="25"/>
        <v>10881000</v>
      </c>
      <c r="I181" s="232">
        <v>11767000</v>
      </c>
      <c r="J181" s="232">
        <v>12944000</v>
      </c>
    </row>
    <row r="182" spans="1:10" ht="19.899999999999999" customHeight="1">
      <c r="A182" s="234">
        <v>9</v>
      </c>
      <c r="B182" s="222" t="s">
        <v>1336</v>
      </c>
      <c r="C182" s="235">
        <v>3449160.0000000005</v>
      </c>
      <c r="D182" s="236">
        <f t="shared" si="26"/>
        <v>3450000</v>
      </c>
      <c r="E182" s="236">
        <f t="shared" si="22"/>
        <v>3795000</v>
      </c>
      <c r="F182" s="236">
        <f t="shared" si="23"/>
        <v>4515000</v>
      </c>
      <c r="G182" s="236">
        <f t="shared" si="24"/>
        <v>4967000</v>
      </c>
      <c r="H182" s="236">
        <f t="shared" si="25"/>
        <v>5464000</v>
      </c>
      <c r="I182" s="232">
        <v>11767000</v>
      </c>
      <c r="J182" s="232">
        <v>12944000</v>
      </c>
    </row>
    <row r="183" spans="1:10" ht="19.899999999999999" customHeight="1">
      <c r="A183" s="234">
        <v>10</v>
      </c>
      <c r="B183" s="222" t="s">
        <v>1337</v>
      </c>
      <c r="C183" s="235">
        <v>3449160.0000000005</v>
      </c>
      <c r="D183" s="236">
        <f t="shared" si="26"/>
        <v>3450000</v>
      </c>
      <c r="E183" s="236">
        <f t="shared" si="22"/>
        <v>3795000</v>
      </c>
      <c r="F183" s="236">
        <f t="shared" si="23"/>
        <v>4515000</v>
      </c>
      <c r="G183" s="236">
        <f t="shared" si="24"/>
        <v>4967000</v>
      </c>
      <c r="H183" s="236">
        <f t="shared" si="25"/>
        <v>5464000</v>
      </c>
      <c r="I183" s="232">
        <v>5464000</v>
      </c>
      <c r="J183" s="232">
        <v>6010000</v>
      </c>
    </row>
    <row r="184" spans="1:10" ht="19.899999999999999" customHeight="1">
      <c r="A184" s="234">
        <v>11</v>
      </c>
      <c r="B184" s="222" t="s">
        <v>378</v>
      </c>
      <c r="C184" s="235">
        <v>4741110</v>
      </c>
      <c r="D184" s="236">
        <f t="shared" si="26"/>
        <v>4742000</v>
      </c>
      <c r="E184" s="236">
        <f t="shared" si="22"/>
        <v>5216000</v>
      </c>
      <c r="F184" s="236">
        <f t="shared" si="23"/>
        <v>6207000</v>
      </c>
      <c r="G184" s="236">
        <f t="shared" si="24"/>
        <v>6827000</v>
      </c>
      <c r="H184" s="236">
        <f t="shared" si="25"/>
        <v>7510000</v>
      </c>
      <c r="I184" s="232">
        <v>5464000</v>
      </c>
      <c r="J184" s="232">
        <v>6010000</v>
      </c>
    </row>
    <row r="185" spans="1:10" ht="19.899999999999999" customHeight="1">
      <c r="A185" s="234">
        <v>12</v>
      </c>
      <c r="B185" s="222" t="s">
        <v>1338</v>
      </c>
      <c r="C185" s="235">
        <v>7428960.0000000009</v>
      </c>
      <c r="D185" s="236">
        <f t="shared" si="26"/>
        <v>7429000</v>
      </c>
      <c r="E185" s="236">
        <f t="shared" si="22"/>
        <v>8172000</v>
      </c>
      <c r="F185" s="236">
        <f t="shared" si="23"/>
        <v>9725000</v>
      </c>
      <c r="G185" s="236">
        <f t="shared" si="24"/>
        <v>10697000</v>
      </c>
      <c r="H185" s="236">
        <f t="shared" si="25"/>
        <v>11767000</v>
      </c>
      <c r="I185" s="232">
        <v>5464000</v>
      </c>
      <c r="J185" s="232">
        <v>6010000</v>
      </c>
    </row>
    <row r="186" spans="1:10" ht="19.899999999999999" customHeight="1">
      <c r="A186" s="234">
        <v>13</v>
      </c>
      <c r="B186" s="222" t="s">
        <v>1339</v>
      </c>
      <c r="C186" s="235">
        <v>4741110</v>
      </c>
      <c r="D186" s="236">
        <f t="shared" si="26"/>
        <v>4742000</v>
      </c>
      <c r="E186" s="236">
        <f t="shared" si="22"/>
        <v>5216000</v>
      </c>
      <c r="F186" s="236">
        <f t="shared" si="23"/>
        <v>6207000</v>
      </c>
      <c r="G186" s="236">
        <f t="shared" si="24"/>
        <v>6827000</v>
      </c>
      <c r="H186" s="236">
        <f t="shared" si="25"/>
        <v>7510000</v>
      </c>
      <c r="I186" s="232">
        <v>11767000</v>
      </c>
      <c r="J186" s="232">
        <v>12944000</v>
      </c>
    </row>
    <row r="187" spans="1:10" ht="19.899999999999999" customHeight="1">
      <c r="A187" s="234">
        <v>14</v>
      </c>
      <c r="B187" s="222" t="s">
        <v>1340</v>
      </c>
      <c r="C187" s="235">
        <v>4741110</v>
      </c>
      <c r="D187" s="236">
        <f t="shared" si="26"/>
        <v>4742000</v>
      </c>
      <c r="E187" s="236">
        <f t="shared" si="22"/>
        <v>5216000</v>
      </c>
      <c r="F187" s="236">
        <f t="shared" si="23"/>
        <v>6207000</v>
      </c>
      <c r="G187" s="236">
        <f t="shared" si="24"/>
        <v>6827000</v>
      </c>
      <c r="H187" s="236">
        <f t="shared" si="25"/>
        <v>7510000</v>
      </c>
      <c r="I187" s="232">
        <v>11767000</v>
      </c>
      <c r="J187" s="232">
        <v>12944000</v>
      </c>
    </row>
    <row r="188" spans="1:10" ht="19.899999999999999" customHeight="1">
      <c r="A188" s="234">
        <v>15</v>
      </c>
      <c r="B188" s="222" t="s">
        <v>1341</v>
      </c>
      <c r="C188" s="235">
        <v>4941090</v>
      </c>
      <c r="D188" s="236">
        <f t="shared" si="26"/>
        <v>4942000</v>
      </c>
      <c r="E188" s="236">
        <f t="shared" si="22"/>
        <v>5436000</v>
      </c>
      <c r="F188" s="236">
        <f t="shared" si="23"/>
        <v>6468000</v>
      </c>
      <c r="G188" s="236">
        <f t="shared" si="24"/>
        <v>7115000</v>
      </c>
      <c r="H188" s="236">
        <f t="shared" si="25"/>
        <v>7827000</v>
      </c>
      <c r="I188" s="232">
        <v>11767000</v>
      </c>
      <c r="J188" s="232">
        <v>12944000</v>
      </c>
    </row>
    <row r="189" spans="1:10" ht="19.899999999999999" customHeight="1">
      <c r="A189" s="234">
        <v>16</v>
      </c>
      <c r="B189" s="222" t="s">
        <v>1342</v>
      </c>
      <c r="C189" s="235">
        <v>7906140.0000000009</v>
      </c>
      <c r="D189" s="236">
        <f t="shared" si="26"/>
        <v>7907000</v>
      </c>
      <c r="E189" s="236">
        <f t="shared" si="22"/>
        <v>8697000</v>
      </c>
      <c r="F189" s="236">
        <f t="shared" si="23"/>
        <v>10350000</v>
      </c>
      <c r="G189" s="236">
        <f t="shared" si="24"/>
        <v>11385000</v>
      </c>
      <c r="H189" s="236">
        <f t="shared" si="25"/>
        <v>12523000</v>
      </c>
      <c r="I189" s="232">
        <v>5464000</v>
      </c>
      <c r="J189" s="232">
        <v>6010000</v>
      </c>
    </row>
    <row r="190" spans="1:10" ht="19.899999999999999" customHeight="1">
      <c r="A190" s="234">
        <v>17</v>
      </c>
      <c r="B190" s="222" t="s">
        <v>1343</v>
      </c>
      <c r="C190" s="235">
        <v>4941090</v>
      </c>
      <c r="D190" s="236">
        <f t="shared" si="26"/>
        <v>4942000</v>
      </c>
      <c r="E190" s="236">
        <f t="shared" si="22"/>
        <v>5436000</v>
      </c>
      <c r="F190" s="236">
        <f t="shared" si="23"/>
        <v>6468000</v>
      </c>
      <c r="G190" s="236">
        <f t="shared" si="24"/>
        <v>7115000</v>
      </c>
      <c r="H190" s="236">
        <f t="shared" si="25"/>
        <v>7827000</v>
      </c>
      <c r="I190" s="232">
        <v>7827000</v>
      </c>
      <c r="J190" s="232">
        <v>8609000</v>
      </c>
    </row>
    <row r="191" spans="1:10" ht="19.899999999999999" customHeight="1">
      <c r="A191" s="234">
        <v>18</v>
      </c>
      <c r="B191" s="222" t="s">
        <v>1344</v>
      </c>
      <c r="C191" s="235">
        <v>4941090</v>
      </c>
      <c r="D191" s="236">
        <f t="shared" si="26"/>
        <v>4942000</v>
      </c>
      <c r="E191" s="236">
        <f t="shared" si="22"/>
        <v>5436000</v>
      </c>
      <c r="F191" s="236">
        <f t="shared" si="23"/>
        <v>6468000</v>
      </c>
      <c r="G191" s="236">
        <f t="shared" si="24"/>
        <v>7115000</v>
      </c>
      <c r="H191" s="236">
        <f t="shared" si="25"/>
        <v>7827000</v>
      </c>
      <c r="I191" s="232">
        <v>8223000</v>
      </c>
      <c r="J191" s="232">
        <v>9046000</v>
      </c>
    </row>
    <row r="192" spans="1:10" ht="19.899999999999999" customHeight="1">
      <c r="A192" s="234">
        <v>19</v>
      </c>
      <c r="B192" s="222" t="s">
        <v>1345</v>
      </c>
      <c r="C192" s="235">
        <v>7906140.0000000009</v>
      </c>
      <c r="D192" s="236">
        <f t="shared" si="26"/>
        <v>7907000</v>
      </c>
      <c r="E192" s="236">
        <f t="shared" si="22"/>
        <v>8697000</v>
      </c>
      <c r="F192" s="236">
        <f t="shared" si="23"/>
        <v>10350000</v>
      </c>
      <c r="G192" s="236">
        <f t="shared" si="24"/>
        <v>11385000</v>
      </c>
      <c r="H192" s="236">
        <f t="shared" si="25"/>
        <v>12523000</v>
      </c>
      <c r="I192" s="232">
        <v>7827000</v>
      </c>
      <c r="J192" s="232">
        <v>8609000</v>
      </c>
    </row>
    <row r="193" spans="1:10" ht="19.899999999999999" customHeight="1">
      <c r="A193" s="234">
        <v>20</v>
      </c>
      <c r="B193" s="222" t="s">
        <v>1346</v>
      </c>
      <c r="C193" s="235">
        <v>4941090</v>
      </c>
      <c r="D193" s="236">
        <f t="shared" si="26"/>
        <v>4942000</v>
      </c>
      <c r="E193" s="236">
        <f t="shared" si="22"/>
        <v>5436000</v>
      </c>
      <c r="F193" s="236">
        <f t="shared" si="23"/>
        <v>6468000</v>
      </c>
      <c r="G193" s="236">
        <f t="shared" si="24"/>
        <v>7115000</v>
      </c>
      <c r="H193" s="236">
        <f t="shared" si="25"/>
        <v>7827000</v>
      </c>
      <c r="I193" s="232">
        <v>7827000</v>
      </c>
      <c r="J193" s="232">
        <v>8609000</v>
      </c>
    </row>
    <row r="194" spans="1:10" ht="19.899999999999999" customHeight="1">
      <c r="A194" s="234">
        <v>21</v>
      </c>
      <c r="B194" s="222" t="s">
        <v>1347</v>
      </c>
      <c r="C194" s="235">
        <v>6869610.0000000009</v>
      </c>
      <c r="D194" s="236">
        <f t="shared" si="26"/>
        <v>6870000</v>
      </c>
      <c r="E194" s="236">
        <f t="shared" si="22"/>
        <v>7557000</v>
      </c>
      <c r="F194" s="236">
        <f t="shared" si="23"/>
        <v>8993000</v>
      </c>
      <c r="G194" s="236">
        <f t="shared" si="24"/>
        <v>9892000</v>
      </c>
      <c r="H194" s="236">
        <f t="shared" si="25"/>
        <v>10881000</v>
      </c>
      <c r="I194" s="232">
        <v>7827000</v>
      </c>
      <c r="J194" s="232">
        <v>8609000</v>
      </c>
    </row>
    <row r="195" spans="1:10" ht="19.899999999999999" customHeight="1">
      <c r="A195" s="234">
        <v>22</v>
      </c>
      <c r="B195" s="222" t="s">
        <v>1348</v>
      </c>
      <c r="C195" s="235">
        <v>6869610.0000000009</v>
      </c>
      <c r="D195" s="236">
        <f t="shared" si="26"/>
        <v>6870000</v>
      </c>
      <c r="E195" s="236">
        <f t="shared" si="22"/>
        <v>7557000</v>
      </c>
      <c r="F195" s="236">
        <f t="shared" si="23"/>
        <v>8993000</v>
      </c>
      <c r="G195" s="236">
        <f t="shared" si="24"/>
        <v>9892000</v>
      </c>
      <c r="H195" s="236">
        <f t="shared" si="25"/>
        <v>10881000</v>
      </c>
      <c r="I195" s="232">
        <v>7827000</v>
      </c>
      <c r="J195" s="232">
        <v>8609000</v>
      </c>
    </row>
    <row r="196" spans="1:10" ht="19.899999999999999" customHeight="1">
      <c r="A196" s="234">
        <v>23</v>
      </c>
      <c r="B196" s="222" t="s">
        <v>1126</v>
      </c>
      <c r="C196" s="235">
        <v>5142500</v>
      </c>
      <c r="D196" s="236">
        <f t="shared" si="26"/>
        <v>5143000</v>
      </c>
      <c r="E196" s="236">
        <f t="shared" si="22"/>
        <v>5657000</v>
      </c>
      <c r="F196" s="236">
        <f t="shared" si="23"/>
        <v>6732000</v>
      </c>
      <c r="G196" s="236">
        <f t="shared" si="24"/>
        <v>7405000</v>
      </c>
      <c r="H196" s="236">
        <f t="shared" si="25"/>
        <v>8146000</v>
      </c>
      <c r="I196" s="232">
        <v>7827000</v>
      </c>
      <c r="J196" s="232">
        <v>8609000</v>
      </c>
    </row>
    <row r="197" spans="1:10" ht="19.899999999999999" customHeight="1">
      <c r="A197" s="234">
        <v>24</v>
      </c>
      <c r="B197" s="222" t="s">
        <v>1349</v>
      </c>
      <c r="C197" s="235">
        <v>4941090</v>
      </c>
      <c r="D197" s="236">
        <f t="shared" si="26"/>
        <v>4942000</v>
      </c>
      <c r="E197" s="236">
        <f t="shared" si="22"/>
        <v>5436000</v>
      </c>
      <c r="F197" s="236">
        <f t="shared" si="23"/>
        <v>6468000</v>
      </c>
      <c r="G197" s="236">
        <f t="shared" si="24"/>
        <v>7115000</v>
      </c>
      <c r="H197" s="236">
        <f t="shared" si="25"/>
        <v>7827000</v>
      </c>
      <c r="I197" s="232">
        <v>7827000</v>
      </c>
      <c r="J197" s="232">
        <v>8609000</v>
      </c>
    </row>
    <row r="198" spans="1:10" ht="19.899999999999999" customHeight="1">
      <c r="A198" s="234">
        <v>25</v>
      </c>
      <c r="B198" s="222" t="s">
        <v>1350</v>
      </c>
      <c r="C198" s="235">
        <v>4941090</v>
      </c>
      <c r="D198" s="236">
        <f t="shared" si="26"/>
        <v>4942000</v>
      </c>
      <c r="E198" s="236">
        <f t="shared" si="22"/>
        <v>5436000</v>
      </c>
      <c r="F198" s="236">
        <f t="shared" si="23"/>
        <v>6468000</v>
      </c>
      <c r="G198" s="236">
        <f t="shared" si="24"/>
        <v>7115000</v>
      </c>
      <c r="H198" s="236">
        <f t="shared" si="25"/>
        <v>7827000</v>
      </c>
      <c r="I198" s="232">
        <v>7827000</v>
      </c>
      <c r="J198" s="232">
        <v>8609000</v>
      </c>
    </row>
    <row r="199" spans="1:10" ht="19.899999999999999" customHeight="1">
      <c r="A199" s="234">
        <v>26</v>
      </c>
      <c r="B199" s="222" t="s">
        <v>1351</v>
      </c>
      <c r="C199" s="235">
        <v>7906140.0000000009</v>
      </c>
      <c r="D199" s="236">
        <f t="shared" si="26"/>
        <v>7907000</v>
      </c>
      <c r="E199" s="236">
        <f t="shared" si="22"/>
        <v>8697000</v>
      </c>
      <c r="F199" s="236">
        <f t="shared" si="23"/>
        <v>10350000</v>
      </c>
      <c r="G199" s="236">
        <f t="shared" si="24"/>
        <v>11385000</v>
      </c>
      <c r="H199" s="236">
        <f t="shared" si="25"/>
        <v>12523000</v>
      </c>
      <c r="I199" s="232">
        <v>7827000</v>
      </c>
      <c r="J199" s="232">
        <v>8609000</v>
      </c>
    </row>
    <row r="200" spans="1:10" ht="19.899999999999999" customHeight="1">
      <c r="A200" s="234">
        <v>27</v>
      </c>
      <c r="B200" s="222" t="s">
        <v>1352</v>
      </c>
      <c r="C200" s="235">
        <v>4941090</v>
      </c>
      <c r="D200" s="236">
        <f t="shared" si="26"/>
        <v>4942000</v>
      </c>
      <c r="E200" s="236">
        <f t="shared" si="22"/>
        <v>5436000</v>
      </c>
      <c r="F200" s="236">
        <f t="shared" si="23"/>
        <v>6468000</v>
      </c>
      <c r="G200" s="236">
        <f t="shared" si="24"/>
        <v>7115000</v>
      </c>
      <c r="H200" s="236">
        <f t="shared" si="25"/>
        <v>7827000</v>
      </c>
      <c r="I200" s="232">
        <v>7827000</v>
      </c>
      <c r="J200" s="232">
        <v>8609000</v>
      </c>
    </row>
    <row r="201" spans="1:10" ht="19.899999999999999" customHeight="1">
      <c r="A201" s="234">
        <v>28</v>
      </c>
      <c r="B201" s="222" t="s">
        <v>1353</v>
      </c>
      <c r="C201" s="235">
        <v>4941090</v>
      </c>
      <c r="D201" s="236">
        <f t="shared" si="26"/>
        <v>4942000</v>
      </c>
      <c r="E201" s="236">
        <f t="shared" si="22"/>
        <v>5436000</v>
      </c>
      <c r="F201" s="236">
        <f t="shared" si="23"/>
        <v>6468000</v>
      </c>
      <c r="G201" s="236">
        <f t="shared" si="24"/>
        <v>7115000</v>
      </c>
      <c r="H201" s="236">
        <f t="shared" si="25"/>
        <v>7827000</v>
      </c>
      <c r="I201" s="232">
        <v>7827000</v>
      </c>
      <c r="J201" s="232">
        <v>8609000</v>
      </c>
    </row>
    <row r="202" spans="1:10" ht="19.899999999999999" customHeight="1">
      <c r="A202" s="234">
        <v>29</v>
      </c>
      <c r="B202" s="222" t="s">
        <v>1354</v>
      </c>
      <c r="C202" s="235">
        <v>7906140.0000000009</v>
      </c>
      <c r="D202" s="236">
        <f t="shared" si="26"/>
        <v>7907000</v>
      </c>
      <c r="E202" s="236">
        <f t="shared" si="22"/>
        <v>8697000</v>
      </c>
      <c r="F202" s="236">
        <f t="shared" si="23"/>
        <v>10350000</v>
      </c>
      <c r="G202" s="236">
        <f t="shared" si="24"/>
        <v>11385000</v>
      </c>
      <c r="H202" s="236">
        <f t="shared" si="25"/>
        <v>12523000</v>
      </c>
      <c r="I202" s="232">
        <v>7827000</v>
      </c>
      <c r="J202" s="232">
        <v>8609000</v>
      </c>
    </row>
    <row r="203" spans="1:10" ht="19.899999999999999" customHeight="1">
      <c r="A203" s="234">
        <v>30</v>
      </c>
      <c r="B203" s="222" t="s">
        <v>1355</v>
      </c>
      <c r="C203" s="235">
        <v>4941090</v>
      </c>
      <c r="D203" s="236">
        <f t="shared" si="26"/>
        <v>4942000</v>
      </c>
      <c r="E203" s="236">
        <f t="shared" si="22"/>
        <v>5436000</v>
      </c>
      <c r="F203" s="236">
        <f t="shared" si="23"/>
        <v>6468000</v>
      </c>
      <c r="G203" s="236">
        <f t="shared" si="24"/>
        <v>7115000</v>
      </c>
      <c r="H203" s="236">
        <f t="shared" si="25"/>
        <v>7827000</v>
      </c>
      <c r="I203" s="232">
        <v>7827000</v>
      </c>
      <c r="J203" s="232">
        <v>8609000</v>
      </c>
    </row>
    <row r="204" spans="1:10" ht="19.899999999999999" customHeight="1">
      <c r="A204" s="234">
        <v>31</v>
      </c>
      <c r="B204" s="222" t="s">
        <v>1356</v>
      </c>
      <c r="C204" s="235">
        <v>4941090</v>
      </c>
      <c r="D204" s="236">
        <f t="shared" si="26"/>
        <v>4942000</v>
      </c>
      <c r="E204" s="236">
        <f t="shared" si="22"/>
        <v>5436000</v>
      </c>
      <c r="F204" s="236">
        <f t="shared" si="23"/>
        <v>6468000</v>
      </c>
      <c r="G204" s="236">
        <f t="shared" si="24"/>
        <v>7115000</v>
      </c>
      <c r="H204" s="236">
        <f t="shared" si="25"/>
        <v>7827000</v>
      </c>
      <c r="I204" s="232">
        <v>7827000</v>
      </c>
      <c r="J204" s="232">
        <v>8609000</v>
      </c>
    </row>
    <row r="205" spans="1:10" ht="19.899999999999999" customHeight="1">
      <c r="A205" s="234">
        <v>32</v>
      </c>
      <c r="B205" s="222" t="s">
        <v>1357</v>
      </c>
      <c r="C205" s="235">
        <v>7906140.0000000009</v>
      </c>
      <c r="D205" s="236">
        <f t="shared" si="26"/>
        <v>7907000</v>
      </c>
      <c r="E205" s="236">
        <f t="shared" si="22"/>
        <v>8697000</v>
      </c>
      <c r="F205" s="236">
        <f t="shared" si="23"/>
        <v>10350000</v>
      </c>
      <c r="G205" s="236">
        <f t="shared" si="24"/>
        <v>11385000</v>
      </c>
      <c r="H205" s="236">
        <f t="shared" si="25"/>
        <v>12523000</v>
      </c>
      <c r="I205" s="232">
        <v>7827000</v>
      </c>
      <c r="J205" s="232">
        <v>8609000</v>
      </c>
    </row>
    <row r="206" spans="1:10" ht="19.899999999999999" customHeight="1">
      <c r="A206" s="234">
        <v>33</v>
      </c>
      <c r="B206" s="222" t="s">
        <v>1358</v>
      </c>
      <c r="C206" s="235">
        <v>4941090</v>
      </c>
      <c r="D206" s="236">
        <f t="shared" si="26"/>
        <v>4942000</v>
      </c>
      <c r="E206" s="236">
        <f t="shared" si="22"/>
        <v>5436000</v>
      </c>
      <c r="F206" s="236">
        <f t="shared" si="23"/>
        <v>6468000</v>
      </c>
      <c r="G206" s="236">
        <f t="shared" si="24"/>
        <v>7115000</v>
      </c>
      <c r="H206" s="236">
        <f t="shared" si="25"/>
        <v>7827000</v>
      </c>
      <c r="I206" s="232">
        <v>7827000</v>
      </c>
      <c r="J206" s="232">
        <v>8609000</v>
      </c>
    </row>
    <row r="207" spans="1:10" ht="19.899999999999999" customHeight="1">
      <c r="A207" s="234">
        <v>34</v>
      </c>
      <c r="B207" s="222" t="s">
        <v>1359</v>
      </c>
      <c r="C207" s="235">
        <v>5191560</v>
      </c>
      <c r="D207" s="236">
        <f t="shared" si="26"/>
        <v>5192000</v>
      </c>
      <c r="E207" s="236">
        <f t="shared" si="22"/>
        <v>5711000</v>
      </c>
      <c r="F207" s="236">
        <f t="shared" si="23"/>
        <v>6796000</v>
      </c>
      <c r="G207" s="236">
        <f t="shared" si="24"/>
        <v>7476000</v>
      </c>
      <c r="H207" s="236">
        <f t="shared" si="25"/>
        <v>8223000</v>
      </c>
      <c r="I207" s="232">
        <v>7827000</v>
      </c>
      <c r="J207" s="232">
        <v>8609000</v>
      </c>
    </row>
    <row r="208" spans="1:10" ht="19.899999999999999" customHeight="1">
      <c r="A208" s="234">
        <v>35</v>
      </c>
      <c r="B208" s="222" t="s">
        <v>1360</v>
      </c>
      <c r="C208" s="235">
        <v>4941090</v>
      </c>
      <c r="D208" s="236">
        <f t="shared" si="26"/>
        <v>4942000</v>
      </c>
      <c r="E208" s="236">
        <f t="shared" si="22"/>
        <v>5436000</v>
      </c>
      <c r="F208" s="236">
        <f t="shared" si="23"/>
        <v>6468000</v>
      </c>
      <c r="G208" s="236">
        <f t="shared" si="24"/>
        <v>7115000</v>
      </c>
      <c r="H208" s="236">
        <f t="shared" si="25"/>
        <v>7827000</v>
      </c>
      <c r="I208" s="232">
        <v>8416000</v>
      </c>
      <c r="J208" s="232">
        <v>9258000</v>
      </c>
    </row>
    <row r="209" spans="1:10" ht="19.899999999999999" customHeight="1">
      <c r="A209" s="234">
        <v>36</v>
      </c>
      <c r="B209" s="222" t="s">
        <v>1361</v>
      </c>
      <c r="C209" s="235">
        <v>4941090</v>
      </c>
      <c r="D209" s="236">
        <f t="shared" si="26"/>
        <v>4942000</v>
      </c>
      <c r="E209" s="236">
        <f t="shared" si="22"/>
        <v>5436000</v>
      </c>
      <c r="F209" s="236">
        <f t="shared" si="23"/>
        <v>6468000</v>
      </c>
      <c r="G209" s="236">
        <f t="shared" si="24"/>
        <v>7115000</v>
      </c>
      <c r="H209" s="236">
        <f t="shared" si="25"/>
        <v>7827000</v>
      </c>
      <c r="I209" s="232">
        <v>8416000</v>
      </c>
      <c r="J209" s="232">
        <v>9258000</v>
      </c>
    </row>
    <row r="210" spans="1:10" ht="19.899999999999999" customHeight="1">
      <c r="A210" s="234">
        <v>37</v>
      </c>
      <c r="B210" s="222" t="s">
        <v>1362</v>
      </c>
      <c r="C210" s="235">
        <v>4941090</v>
      </c>
      <c r="D210" s="236">
        <f t="shared" si="26"/>
        <v>4942000</v>
      </c>
      <c r="E210" s="236">
        <f t="shared" si="22"/>
        <v>5436000</v>
      </c>
      <c r="F210" s="236">
        <f t="shared" si="23"/>
        <v>6468000</v>
      </c>
      <c r="G210" s="236">
        <f t="shared" si="24"/>
        <v>7115000</v>
      </c>
      <c r="H210" s="236">
        <f t="shared" si="25"/>
        <v>7827000</v>
      </c>
      <c r="I210" s="232">
        <v>7827000</v>
      </c>
      <c r="J210" s="232">
        <v>8609000</v>
      </c>
    </row>
    <row r="211" spans="1:10" ht="19.899999999999999" customHeight="1">
      <c r="A211" s="234">
        <v>38</v>
      </c>
      <c r="B211" s="222" t="s">
        <v>1363</v>
      </c>
      <c r="C211" s="235">
        <v>4941090</v>
      </c>
      <c r="D211" s="236">
        <f t="shared" si="26"/>
        <v>4942000</v>
      </c>
      <c r="E211" s="236">
        <f t="shared" si="22"/>
        <v>5436000</v>
      </c>
      <c r="F211" s="236">
        <f t="shared" si="23"/>
        <v>6468000</v>
      </c>
      <c r="G211" s="236">
        <f t="shared" si="24"/>
        <v>7115000</v>
      </c>
      <c r="H211" s="236">
        <f t="shared" si="25"/>
        <v>7827000</v>
      </c>
      <c r="I211" s="232">
        <v>8416000</v>
      </c>
      <c r="J211" s="232">
        <v>9258000</v>
      </c>
    </row>
    <row r="212" spans="1:10" ht="19.899999999999999" customHeight="1">
      <c r="A212" s="234">
        <v>39</v>
      </c>
      <c r="B212" s="222" t="s">
        <v>1364</v>
      </c>
      <c r="C212" s="235">
        <v>7906140.0000000009</v>
      </c>
      <c r="D212" s="236">
        <f t="shared" si="26"/>
        <v>7907000</v>
      </c>
      <c r="E212" s="236">
        <f t="shared" si="22"/>
        <v>8697000</v>
      </c>
      <c r="F212" s="236">
        <f t="shared" si="23"/>
        <v>10350000</v>
      </c>
      <c r="G212" s="236">
        <f t="shared" si="24"/>
        <v>11385000</v>
      </c>
      <c r="H212" s="236">
        <f t="shared" si="25"/>
        <v>12523000</v>
      </c>
      <c r="I212" s="232">
        <v>10586000</v>
      </c>
      <c r="J212" s="232">
        <v>11645000</v>
      </c>
    </row>
    <row r="213" spans="1:10" ht="19.899999999999999" customHeight="1">
      <c r="A213" s="234">
        <v>40</v>
      </c>
      <c r="B213" s="222" t="s">
        <v>1365</v>
      </c>
      <c r="C213" s="235">
        <v>4941090</v>
      </c>
      <c r="D213" s="236">
        <f t="shared" si="26"/>
        <v>4942000</v>
      </c>
      <c r="E213" s="236">
        <f t="shared" si="22"/>
        <v>5436000</v>
      </c>
      <c r="F213" s="236">
        <f t="shared" si="23"/>
        <v>6468000</v>
      </c>
      <c r="G213" s="236">
        <f t="shared" si="24"/>
        <v>7115000</v>
      </c>
      <c r="H213" s="236">
        <f t="shared" si="25"/>
        <v>7827000</v>
      </c>
      <c r="I213" s="232">
        <v>8416000</v>
      </c>
      <c r="J213" s="232">
        <v>9258000</v>
      </c>
    </row>
    <row r="214" spans="1:10" ht="19.899999999999999" customHeight="1">
      <c r="A214" s="234">
        <v>41</v>
      </c>
      <c r="B214" s="222" t="s">
        <v>1366</v>
      </c>
      <c r="C214" s="235">
        <v>4941090</v>
      </c>
      <c r="D214" s="236">
        <f t="shared" si="26"/>
        <v>4942000</v>
      </c>
      <c r="E214" s="236">
        <f t="shared" si="22"/>
        <v>5436000</v>
      </c>
      <c r="F214" s="236">
        <f t="shared" si="23"/>
        <v>6468000</v>
      </c>
      <c r="G214" s="236">
        <f t="shared" si="24"/>
        <v>7115000</v>
      </c>
      <c r="H214" s="236">
        <f t="shared" si="25"/>
        <v>7827000</v>
      </c>
      <c r="I214" s="232">
        <v>7510000</v>
      </c>
      <c r="J214" s="232">
        <v>8261000</v>
      </c>
    </row>
    <row r="215" spans="1:10" ht="19.899999999999999" customHeight="1">
      <c r="A215" s="234">
        <v>42</v>
      </c>
      <c r="B215" s="222" t="s">
        <v>1367</v>
      </c>
      <c r="C215" s="235">
        <v>7428960.0000000009</v>
      </c>
      <c r="D215" s="236">
        <f t="shared" si="26"/>
        <v>7429000</v>
      </c>
      <c r="E215" s="236">
        <f t="shared" si="22"/>
        <v>8172000</v>
      </c>
      <c r="F215" s="236">
        <f t="shared" si="23"/>
        <v>9725000</v>
      </c>
      <c r="G215" s="236">
        <f t="shared" si="24"/>
        <v>10697000</v>
      </c>
      <c r="H215" s="236">
        <f t="shared" si="25"/>
        <v>11767000</v>
      </c>
      <c r="I215" s="232">
        <v>7510000</v>
      </c>
      <c r="J215" s="232">
        <v>8261000</v>
      </c>
    </row>
    <row r="216" spans="1:10" ht="19.899999999999999" customHeight="1">
      <c r="A216" s="234">
        <v>43</v>
      </c>
      <c r="B216" s="222" t="s">
        <v>1368</v>
      </c>
      <c r="C216" s="235">
        <v>6192450.0000000009</v>
      </c>
      <c r="D216" s="236">
        <f t="shared" si="26"/>
        <v>6193000</v>
      </c>
      <c r="E216" s="236">
        <f t="shared" si="22"/>
        <v>6812000</v>
      </c>
      <c r="F216" s="236">
        <f t="shared" si="23"/>
        <v>8106000</v>
      </c>
      <c r="G216" s="236">
        <f t="shared" si="24"/>
        <v>8917000</v>
      </c>
      <c r="H216" s="236">
        <f t="shared" si="25"/>
        <v>9809000</v>
      </c>
      <c r="I216" s="232">
        <v>7510000</v>
      </c>
      <c r="J216" s="232">
        <v>8261000</v>
      </c>
    </row>
    <row r="217" spans="1:10" ht="19.899999999999999" customHeight="1">
      <c r="A217" s="234">
        <v>44</v>
      </c>
      <c r="B217" s="222" t="s">
        <v>1369</v>
      </c>
      <c r="C217" s="235">
        <v>7428960.0000000009</v>
      </c>
      <c r="D217" s="236">
        <f t="shared" si="26"/>
        <v>7429000</v>
      </c>
      <c r="E217" s="236">
        <f t="shared" si="22"/>
        <v>8172000</v>
      </c>
      <c r="F217" s="236">
        <f t="shared" si="23"/>
        <v>9725000</v>
      </c>
      <c r="G217" s="236">
        <f t="shared" si="24"/>
        <v>10697000</v>
      </c>
      <c r="H217" s="236">
        <f t="shared" si="25"/>
        <v>11767000</v>
      </c>
      <c r="I217" s="232">
        <v>10121000</v>
      </c>
      <c r="J217" s="232">
        <v>11133000</v>
      </c>
    </row>
    <row r="218" spans="1:10" ht="19.899999999999999" customHeight="1">
      <c r="A218" s="234">
        <v>45</v>
      </c>
      <c r="B218" s="222" t="s">
        <v>1370</v>
      </c>
      <c r="C218" s="235">
        <v>7428960.0000000009</v>
      </c>
      <c r="D218" s="236">
        <f t="shared" si="26"/>
        <v>7429000</v>
      </c>
      <c r="E218" s="236">
        <f t="shared" si="22"/>
        <v>8172000</v>
      </c>
      <c r="F218" s="236">
        <f t="shared" si="23"/>
        <v>9725000</v>
      </c>
      <c r="G218" s="236">
        <f t="shared" si="24"/>
        <v>10697000</v>
      </c>
      <c r="H218" s="236">
        <f t="shared" si="25"/>
        <v>11767000</v>
      </c>
      <c r="I218" s="232">
        <v>7510000</v>
      </c>
      <c r="J218" s="232">
        <v>8261000</v>
      </c>
    </row>
    <row r="219" spans="1:10" ht="19.899999999999999" customHeight="1">
      <c r="A219" s="234">
        <v>46</v>
      </c>
      <c r="B219" s="222" t="s">
        <v>1371</v>
      </c>
      <c r="C219" s="235">
        <v>7428960.0000000009</v>
      </c>
      <c r="D219" s="236">
        <f t="shared" si="26"/>
        <v>7429000</v>
      </c>
      <c r="E219" s="236">
        <f t="shared" si="22"/>
        <v>8172000</v>
      </c>
      <c r="F219" s="236">
        <f t="shared" si="23"/>
        <v>9725000</v>
      </c>
      <c r="G219" s="236">
        <f t="shared" si="24"/>
        <v>10697000</v>
      </c>
      <c r="H219" s="236">
        <f t="shared" si="25"/>
        <v>11767000</v>
      </c>
      <c r="I219" s="232"/>
      <c r="J219" s="232"/>
    </row>
    <row r="220" spans="1:10" ht="19.899999999999999" customHeight="1">
      <c r="A220" s="234">
        <v>47</v>
      </c>
      <c r="B220" s="222" t="s">
        <v>1372</v>
      </c>
      <c r="C220" s="235">
        <v>7428960.0000000009</v>
      </c>
      <c r="D220" s="236">
        <f t="shared" si="26"/>
        <v>7429000</v>
      </c>
      <c r="E220" s="236">
        <f t="shared" si="22"/>
        <v>8172000</v>
      </c>
      <c r="F220" s="236">
        <f t="shared" si="23"/>
        <v>9725000</v>
      </c>
      <c r="G220" s="236">
        <f t="shared" si="24"/>
        <v>10697000</v>
      </c>
      <c r="H220" s="236">
        <f t="shared" si="25"/>
        <v>11767000</v>
      </c>
      <c r="I220" s="232">
        <v>10881000</v>
      </c>
      <c r="J220" s="232">
        <v>11969000</v>
      </c>
    </row>
    <row r="221" spans="1:10" ht="19.899999999999999" customHeight="1">
      <c r="A221" s="234">
        <v>48</v>
      </c>
      <c r="B221" s="222" t="s">
        <v>1373</v>
      </c>
      <c r="C221" s="235">
        <v>7428960.0000000009</v>
      </c>
      <c r="D221" s="236">
        <f t="shared" si="26"/>
        <v>7429000</v>
      </c>
      <c r="E221" s="236">
        <f t="shared" si="22"/>
        <v>8172000</v>
      </c>
      <c r="F221" s="236">
        <f t="shared" si="23"/>
        <v>9725000</v>
      </c>
      <c r="G221" s="236">
        <f t="shared" si="24"/>
        <v>10697000</v>
      </c>
      <c r="H221" s="236">
        <f t="shared" si="25"/>
        <v>11767000</v>
      </c>
      <c r="I221" s="232">
        <v>10586000</v>
      </c>
      <c r="J221" s="232">
        <v>11645000</v>
      </c>
    </row>
    <row r="222" spans="1:10" ht="19.899999999999999" customHeight="1">
      <c r="A222" s="234">
        <v>49</v>
      </c>
      <c r="B222" s="222" t="s">
        <v>1374</v>
      </c>
      <c r="C222" s="235">
        <v>7428960.0000000009</v>
      </c>
      <c r="D222" s="236">
        <f t="shared" si="26"/>
        <v>7429000</v>
      </c>
      <c r="E222" s="236">
        <f t="shared" si="22"/>
        <v>8172000</v>
      </c>
      <c r="F222" s="236">
        <f t="shared" si="23"/>
        <v>9725000</v>
      </c>
      <c r="G222" s="236">
        <f t="shared" si="24"/>
        <v>10697000</v>
      </c>
      <c r="H222" s="236">
        <f t="shared" si="25"/>
        <v>11767000</v>
      </c>
      <c r="I222" s="232">
        <v>10881000</v>
      </c>
      <c r="J222" s="232">
        <v>11969000</v>
      </c>
    </row>
    <row r="223" spans="1:10" ht="19.899999999999999" customHeight="1">
      <c r="A223" s="234">
        <v>50</v>
      </c>
      <c r="B223" s="222" t="s">
        <v>1375</v>
      </c>
      <c r="C223" s="235">
        <v>5191560</v>
      </c>
      <c r="D223" s="236">
        <f t="shared" si="26"/>
        <v>5192000</v>
      </c>
      <c r="E223" s="236">
        <f t="shared" si="22"/>
        <v>5711000</v>
      </c>
      <c r="F223" s="236">
        <f t="shared" si="23"/>
        <v>6796000</v>
      </c>
      <c r="G223" s="236">
        <f t="shared" si="24"/>
        <v>7476000</v>
      </c>
      <c r="H223" s="236">
        <f t="shared" si="25"/>
        <v>8223000</v>
      </c>
      <c r="I223" s="232">
        <v>10881000</v>
      </c>
      <c r="J223" s="232">
        <v>11969000</v>
      </c>
    </row>
    <row r="224" spans="1:10" ht="19.899999999999999" customHeight="1">
      <c r="A224" s="234">
        <v>51</v>
      </c>
      <c r="B224" s="222" t="s">
        <v>1377</v>
      </c>
      <c r="C224" s="235">
        <v>3449160.0000000005</v>
      </c>
      <c r="D224" s="236">
        <f t="shared" ref="D224:D236" si="27">ROUNDUP(C224,-3)</f>
        <v>3450000</v>
      </c>
      <c r="E224" s="236">
        <f t="shared" ref="E224:E267" si="28">ROUNDUP($C224*1.1,-3)</f>
        <v>3795000</v>
      </c>
      <c r="F224" s="236">
        <f t="shared" ref="F224:F267" si="29">ROUNDUP($C224*1.1*1.19,-3)</f>
        <v>4515000</v>
      </c>
      <c r="G224" s="236">
        <f t="shared" ref="G224:G267" si="30">ROUNDUP($C224*1.1*1.19*1.1,-3)</f>
        <v>4967000</v>
      </c>
      <c r="H224" s="236">
        <f t="shared" ref="H224:H267" si="31">ROUNDUP($C224*1.1*1.19*1.1*1.1,-3)</f>
        <v>5464000</v>
      </c>
      <c r="I224" s="232">
        <v>7827000</v>
      </c>
      <c r="J224" s="232">
        <v>8609000</v>
      </c>
    </row>
    <row r="225" spans="1:10" ht="19.899999999999999" customHeight="1">
      <c r="A225" s="234">
        <v>52</v>
      </c>
      <c r="B225" s="222" t="s">
        <v>1378</v>
      </c>
      <c r="C225" s="235">
        <v>4941090</v>
      </c>
      <c r="D225" s="236">
        <f t="shared" si="27"/>
        <v>4942000</v>
      </c>
      <c r="E225" s="236">
        <f t="shared" si="28"/>
        <v>5436000</v>
      </c>
      <c r="F225" s="236">
        <f t="shared" si="29"/>
        <v>6468000</v>
      </c>
      <c r="G225" s="236">
        <f t="shared" si="30"/>
        <v>7115000</v>
      </c>
      <c r="H225" s="236">
        <f t="shared" si="31"/>
        <v>7827000</v>
      </c>
      <c r="I225" s="232">
        <v>7827000</v>
      </c>
      <c r="J225" s="232">
        <v>8609000</v>
      </c>
    </row>
    <row r="226" spans="1:10" ht="19.899999999999999" customHeight="1">
      <c r="A226" s="234">
        <v>53</v>
      </c>
      <c r="B226" s="222" t="s">
        <v>1379</v>
      </c>
      <c r="C226" s="235">
        <v>7906140.0000000009</v>
      </c>
      <c r="D226" s="236">
        <f t="shared" si="27"/>
        <v>7907000</v>
      </c>
      <c r="E226" s="236">
        <f t="shared" si="28"/>
        <v>8697000</v>
      </c>
      <c r="F226" s="236">
        <f t="shared" si="29"/>
        <v>10350000</v>
      </c>
      <c r="G226" s="236">
        <f t="shared" si="30"/>
        <v>11385000</v>
      </c>
      <c r="H226" s="236">
        <f t="shared" si="31"/>
        <v>12523000</v>
      </c>
      <c r="I226" s="232">
        <v>12523000</v>
      </c>
      <c r="J226" s="232">
        <v>13775000</v>
      </c>
    </row>
    <row r="227" spans="1:10" ht="19.899999999999999" customHeight="1">
      <c r="A227" s="234">
        <v>54</v>
      </c>
      <c r="B227" s="222" t="s">
        <v>1380</v>
      </c>
      <c r="C227" s="235">
        <v>4941090</v>
      </c>
      <c r="D227" s="236">
        <f t="shared" si="27"/>
        <v>4942000</v>
      </c>
      <c r="E227" s="236">
        <f t="shared" si="28"/>
        <v>5436000</v>
      </c>
      <c r="F227" s="236">
        <f t="shared" si="29"/>
        <v>6468000</v>
      </c>
      <c r="G227" s="236">
        <f t="shared" si="30"/>
        <v>7115000</v>
      </c>
      <c r="H227" s="236">
        <f t="shared" si="31"/>
        <v>7827000</v>
      </c>
      <c r="I227" s="232">
        <v>7827000</v>
      </c>
      <c r="J227" s="232">
        <v>8609000</v>
      </c>
    </row>
    <row r="228" spans="1:10" ht="19.899999999999999" customHeight="1">
      <c r="A228" s="234">
        <v>55</v>
      </c>
      <c r="B228" s="222" t="s">
        <v>1381</v>
      </c>
      <c r="C228" s="235">
        <v>4941090</v>
      </c>
      <c r="D228" s="236">
        <f t="shared" si="27"/>
        <v>4942000</v>
      </c>
      <c r="E228" s="236">
        <f t="shared" si="28"/>
        <v>5436000</v>
      </c>
      <c r="F228" s="236">
        <f t="shared" si="29"/>
        <v>6468000</v>
      </c>
      <c r="G228" s="236">
        <f t="shared" si="30"/>
        <v>7115000</v>
      </c>
      <c r="H228" s="236">
        <f t="shared" si="31"/>
        <v>7827000</v>
      </c>
      <c r="I228" s="232">
        <v>7827000</v>
      </c>
      <c r="J228" s="232">
        <v>8609000</v>
      </c>
    </row>
    <row r="229" spans="1:10" ht="19.899999999999999" customHeight="1">
      <c r="A229" s="234">
        <v>56</v>
      </c>
      <c r="B229" s="222" t="s">
        <v>1125</v>
      </c>
      <c r="C229" s="235">
        <v>4941090</v>
      </c>
      <c r="D229" s="236">
        <f t="shared" si="27"/>
        <v>4942000</v>
      </c>
      <c r="E229" s="236">
        <f t="shared" si="28"/>
        <v>5436000</v>
      </c>
      <c r="F229" s="236">
        <f t="shared" si="29"/>
        <v>6468000</v>
      </c>
      <c r="G229" s="236">
        <f t="shared" si="30"/>
        <v>7115000</v>
      </c>
      <c r="H229" s="236">
        <f t="shared" si="31"/>
        <v>7827000</v>
      </c>
      <c r="I229" s="232">
        <v>12523000</v>
      </c>
      <c r="J229" s="232">
        <v>13775000</v>
      </c>
    </row>
    <row r="230" spans="1:10" ht="19.899999999999999" customHeight="1">
      <c r="A230" s="234">
        <v>57</v>
      </c>
      <c r="B230" s="222" t="s">
        <v>1382</v>
      </c>
      <c r="C230" s="235">
        <v>4941090</v>
      </c>
      <c r="D230" s="236">
        <f t="shared" si="27"/>
        <v>4942000</v>
      </c>
      <c r="E230" s="236">
        <f t="shared" si="28"/>
        <v>5436000</v>
      </c>
      <c r="F230" s="236">
        <f t="shared" si="29"/>
        <v>6468000</v>
      </c>
      <c r="G230" s="236">
        <f t="shared" si="30"/>
        <v>7115000</v>
      </c>
      <c r="H230" s="236">
        <f t="shared" si="31"/>
        <v>7827000</v>
      </c>
      <c r="I230" s="232">
        <v>7827000</v>
      </c>
      <c r="J230" s="232">
        <v>8609000</v>
      </c>
    </row>
    <row r="231" spans="1:10" ht="19.899999999999999" customHeight="1">
      <c r="A231" s="234">
        <v>58</v>
      </c>
      <c r="B231" s="222" t="s">
        <v>1383</v>
      </c>
      <c r="C231" s="235">
        <v>7906140.0000000009</v>
      </c>
      <c r="D231" s="236">
        <f t="shared" si="27"/>
        <v>7907000</v>
      </c>
      <c r="E231" s="236">
        <f t="shared" si="28"/>
        <v>8697000</v>
      </c>
      <c r="F231" s="236">
        <f t="shared" si="29"/>
        <v>10350000</v>
      </c>
      <c r="G231" s="236">
        <f t="shared" si="30"/>
        <v>11385000</v>
      </c>
      <c r="H231" s="236">
        <f t="shared" si="31"/>
        <v>12523000</v>
      </c>
      <c r="I231" s="232">
        <v>7827000</v>
      </c>
      <c r="J231" s="232">
        <v>8609000</v>
      </c>
    </row>
    <row r="232" spans="1:10" ht="19.899999999999999" customHeight="1">
      <c r="A232" s="234">
        <v>59</v>
      </c>
      <c r="B232" s="222" t="s">
        <v>1384</v>
      </c>
      <c r="C232" s="235">
        <v>4941090</v>
      </c>
      <c r="D232" s="236">
        <f t="shared" si="27"/>
        <v>4942000</v>
      </c>
      <c r="E232" s="236">
        <f t="shared" si="28"/>
        <v>5436000</v>
      </c>
      <c r="F232" s="236">
        <f t="shared" si="29"/>
        <v>6468000</v>
      </c>
      <c r="G232" s="236">
        <f t="shared" si="30"/>
        <v>7115000</v>
      </c>
      <c r="H232" s="236">
        <f t="shared" si="31"/>
        <v>7827000</v>
      </c>
      <c r="I232" s="232">
        <v>12523000</v>
      </c>
      <c r="J232" s="232">
        <v>13775000</v>
      </c>
    </row>
    <row r="233" spans="1:10" ht="19.899999999999999" customHeight="1">
      <c r="A233" s="234">
        <v>60</v>
      </c>
      <c r="B233" s="222" t="s">
        <v>1385</v>
      </c>
      <c r="C233" s="235">
        <v>4941090</v>
      </c>
      <c r="D233" s="236">
        <f t="shared" si="27"/>
        <v>4942000</v>
      </c>
      <c r="E233" s="236">
        <f t="shared" si="28"/>
        <v>5436000</v>
      </c>
      <c r="F233" s="236">
        <f t="shared" si="29"/>
        <v>6468000</v>
      </c>
      <c r="G233" s="236">
        <f t="shared" si="30"/>
        <v>7115000</v>
      </c>
      <c r="H233" s="236">
        <f t="shared" si="31"/>
        <v>7827000</v>
      </c>
      <c r="I233" s="232">
        <v>7827000</v>
      </c>
      <c r="J233" s="232">
        <v>8609000</v>
      </c>
    </row>
    <row r="234" spans="1:10" ht="19.899999999999999" customHeight="1">
      <c r="A234" s="234">
        <v>61</v>
      </c>
      <c r="B234" s="222" t="s">
        <v>1127</v>
      </c>
      <c r="C234" s="235">
        <v>4991800</v>
      </c>
      <c r="D234" s="236">
        <f t="shared" si="27"/>
        <v>4992000</v>
      </c>
      <c r="E234" s="236">
        <f t="shared" si="28"/>
        <v>5491000</v>
      </c>
      <c r="F234" s="236">
        <f t="shared" si="29"/>
        <v>6535000</v>
      </c>
      <c r="G234" s="236">
        <f t="shared" si="30"/>
        <v>7188000</v>
      </c>
      <c r="H234" s="236">
        <f t="shared" si="31"/>
        <v>7907000</v>
      </c>
      <c r="I234" s="232">
        <v>7827000</v>
      </c>
      <c r="J234" s="232">
        <v>8609000</v>
      </c>
    </row>
    <row r="235" spans="1:10" ht="19.899999999999999" customHeight="1">
      <c r="A235" s="234">
        <v>62</v>
      </c>
      <c r="B235" s="222" t="s">
        <v>1386</v>
      </c>
      <c r="C235" s="235">
        <v>4941090</v>
      </c>
      <c r="D235" s="236">
        <f t="shared" si="27"/>
        <v>4942000</v>
      </c>
      <c r="E235" s="236">
        <f t="shared" si="28"/>
        <v>5436000</v>
      </c>
      <c r="F235" s="236">
        <f t="shared" si="29"/>
        <v>6468000</v>
      </c>
      <c r="G235" s="236">
        <f t="shared" si="30"/>
        <v>7115000</v>
      </c>
      <c r="H235" s="236">
        <f t="shared" si="31"/>
        <v>7827000</v>
      </c>
      <c r="I235" s="232">
        <v>12523000</v>
      </c>
      <c r="J235" s="232">
        <v>13775000</v>
      </c>
    </row>
    <row r="236" spans="1:10" ht="19.899999999999999" customHeight="1">
      <c r="A236" s="234">
        <v>63</v>
      </c>
      <c r="B236" s="222" t="s">
        <v>1387</v>
      </c>
      <c r="C236" s="235">
        <v>4941090</v>
      </c>
      <c r="D236" s="236">
        <f t="shared" si="27"/>
        <v>4942000</v>
      </c>
      <c r="E236" s="236">
        <f t="shared" si="28"/>
        <v>5436000</v>
      </c>
      <c r="F236" s="236">
        <f t="shared" si="29"/>
        <v>6468000</v>
      </c>
      <c r="G236" s="236">
        <f t="shared" si="30"/>
        <v>7115000</v>
      </c>
      <c r="H236" s="236">
        <f t="shared" si="31"/>
        <v>7827000</v>
      </c>
      <c r="I236" s="232">
        <v>7827000</v>
      </c>
      <c r="J236" s="232">
        <v>8609000</v>
      </c>
    </row>
    <row r="237" spans="1:10" ht="19.899999999999999" customHeight="1">
      <c r="A237" s="234">
        <v>64</v>
      </c>
      <c r="B237" s="222" t="s">
        <v>1389</v>
      </c>
      <c r="C237" s="235">
        <v>4941090</v>
      </c>
      <c r="D237" s="236">
        <f t="shared" ref="D237:D267" si="32">ROUNDUP(C237,-3)</f>
        <v>4942000</v>
      </c>
      <c r="E237" s="236">
        <f t="shared" si="28"/>
        <v>5436000</v>
      </c>
      <c r="F237" s="236">
        <f t="shared" si="29"/>
        <v>6468000</v>
      </c>
      <c r="G237" s="236">
        <f t="shared" si="30"/>
        <v>7115000</v>
      </c>
      <c r="H237" s="236">
        <f t="shared" si="31"/>
        <v>7827000</v>
      </c>
      <c r="I237" s="232">
        <v>7827000</v>
      </c>
      <c r="J237" s="232">
        <v>8609000</v>
      </c>
    </row>
    <row r="238" spans="1:10" ht="19.899999999999999" customHeight="1">
      <c r="A238" s="234">
        <v>65</v>
      </c>
      <c r="B238" s="222" t="s">
        <v>1390</v>
      </c>
      <c r="C238" s="235">
        <v>4941090</v>
      </c>
      <c r="D238" s="236">
        <f t="shared" si="32"/>
        <v>4942000</v>
      </c>
      <c r="E238" s="236">
        <f t="shared" si="28"/>
        <v>5436000</v>
      </c>
      <c r="F238" s="236">
        <f t="shared" si="29"/>
        <v>6468000</v>
      </c>
      <c r="G238" s="236">
        <f t="shared" si="30"/>
        <v>7115000</v>
      </c>
      <c r="H238" s="236">
        <f t="shared" si="31"/>
        <v>7827000</v>
      </c>
      <c r="I238" s="232">
        <v>12523000</v>
      </c>
      <c r="J238" s="232">
        <v>13775000</v>
      </c>
    </row>
    <row r="239" spans="1:10" ht="19.899999999999999" customHeight="1">
      <c r="A239" s="234">
        <v>66</v>
      </c>
      <c r="B239" s="222" t="s">
        <v>1391</v>
      </c>
      <c r="C239" s="235">
        <v>7906140.0000000009</v>
      </c>
      <c r="D239" s="236">
        <f t="shared" si="32"/>
        <v>7907000</v>
      </c>
      <c r="E239" s="236">
        <f t="shared" si="28"/>
        <v>8697000</v>
      </c>
      <c r="F239" s="236">
        <f t="shared" si="29"/>
        <v>10350000</v>
      </c>
      <c r="G239" s="236">
        <f t="shared" si="30"/>
        <v>11385000</v>
      </c>
      <c r="H239" s="236">
        <f t="shared" si="31"/>
        <v>12523000</v>
      </c>
      <c r="I239" s="232">
        <v>7827000</v>
      </c>
      <c r="J239" s="232">
        <v>8609000</v>
      </c>
    </row>
    <row r="240" spans="1:10" ht="19.899999999999999" customHeight="1">
      <c r="A240" s="234">
        <v>67</v>
      </c>
      <c r="B240" s="222" t="s">
        <v>1392</v>
      </c>
      <c r="C240" s="235">
        <v>4941090</v>
      </c>
      <c r="D240" s="236">
        <f t="shared" si="32"/>
        <v>4942000</v>
      </c>
      <c r="E240" s="236">
        <f t="shared" si="28"/>
        <v>5436000</v>
      </c>
      <c r="F240" s="236">
        <f t="shared" si="29"/>
        <v>6468000</v>
      </c>
      <c r="G240" s="236">
        <f t="shared" si="30"/>
        <v>7115000</v>
      </c>
      <c r="H240" s="236">
        <f t="shared" si="31"/>
        <v>7827000</v>
      </c>
      <c r="I240" s="232">
        <v>7827000</v>
      </c>
      <c r="J240" s="232">
        <v>8609000</v>
      </c>
    </row>
    <row r="241" spans="1:10" ht="19.899999999999999" customHeight="1">
      <c r="A241" s="234">
        <v>68</v>
      </c>
      <c r="B241" s="222" t="s">
        <v>1393</v>
      </c>
      <c r="C241" s="235">
        <v>4941090</v>
      </c>
      <c r="D241" s="236">
        <f t="shared" si="32"/>
        <v>4942000</v>
      </c>
      <c r="E241" s="236">
        <f t="shared" si="28"/>
        <v>5436000</v>
      </c>
      <c r="F241" s="236">
        <f t="shared" si="29"/>
        <v>6468000</v>
      </c>
      <c r="G241" s="236">
        <f t="shared" si="30"/>
        <v>7115000</v>
      </c>
      <c r="H241" s="236">
        <f t="shared" si="31"/>
        <v>7827000</v>
      </c>
      <c r="I241" s="232">
        <v>12523000</v>
      </c>
      <c r="J241" s="232">
        <v>13775000</v>
      </c>
    </row>
    <row r="242" spans="1:10" ht="19.899999999999999" customHeight="1">
      <c r="A242" s="234">
        <v>69</v>
      </c>
      <c r="B242" s="222" t="s">
        <v>1129</v>
      </c>
      <c r="C242" s="235">
        <v>4950000</v>
      </c>
      <c r="D242" s="236">
        <f t="shared" si="32"/>
        <v>4950000</v>
      </c>
      <c r="E242" s="236">
        <f t="shared" si="28"/>
        <v>5445000</v>
      </c>
      <c r="F242" s="236">
        <f t="shared" si="29"/>
        <v>6480000</v>
      </c>
      <c r="G242" s="236">
        <f t="shared" si="30"/>
        <v>7128000</v>
      </c>
      <c r="H242" s="236">
        <f t="shared" si="31"/>
        <v>7841000</v>
      </c>
      <c r="I242" s="232">
        <v>7827000</v>
      </c>
      <c r="J242" s="232">
        <v>8609000</v>
      </c>
    </row>
    <row r="243" spans="1:10" ht="19.899999999999999" customHeight="1">
      <c r="A243" s="234">
        <v>70</v>
      </c>
      <c r="B243" s="222" t="s">
        <v>1394</v>
      </c>
      <c r="C243" s="235">
        <v>6389460.0000000009</v>
      </c>
      <c r="D243" s="236">
        <f t="shared" si="32"/>
        <v>6390000</v>
      </c>
      <c r="E243" s="236">
        <f t="shared" si="28"/>
        <v>7029000</v>
      </c>
      <c r="F243" s="236">
        <f t="shared" si="29"/>
        <v>8364000</v>
      </c>
      <c r="G243" s="236">
        <f t="shared" si="30"/>
        <v>9201000</v>
      </c>
      <c r="H243" s="236">
        <f t="shared" si="31"/>
        <v>10121000</v>
      </c>
      <c r="I243" s="232">
        <v>7827000</v>
      </c>
      <c r="J243" s="232">
        <v>8609000</v>
      </c>
    </row>
    <row r="244" spans="1:10" ht="19.899999999999999" customHeight="1">
      <c r="A244" s="234">
        <v>71</v>
      </c>
      <c r="B244" s="222" t="s">
        <v>1395</v>
      </c>
      <c r="C244" s="235">
        <v>4941090</v>
      </c>
      <c r="D244" s="236">
        <f t="shared" si="32"/>
        <v>4942000</v>
      </c>
      <c r="E244" s="236">
        <f t="shared" si="28"/>
        <v>5436000</v>
      </c>
      <c r="F244" s="236">
        <f t="shared" si="29"/>
        <v>6468000</v>
      </c>
      <c r="G244" s="236">
        <f t="shared" si="30"/>
        <v>7115000</v>
      </c>
      <c r="H244" s="236">
        <f t="shared" si="31"/>
        <v>7827000</v>
      </c>
      <c r="I244" s="232">
        <v>7827000</v>
      </c>
      <c r="J244" s="232">
        <v>8609000</v>
      </c>
    </row>
    <row r="245" spans="1:10" ht="19.899999999999999" customHeight="1">
      <c r="A245" s="234">
        <v>72</v>
      </c>
      <c r="B245" s="222" t="s">
        <v>1128</v>
      </c>
      <c r="C245" s="235">
        <v>5142500</v>
      </c>
      <c r="D245" s="236">
        <f t="shared" si="32"/>
        <v>5143000</v>
      </c>
      <c r="E245" s="236">
        <f t="shared" si="28"/>
        <v>5657000</v>
      </c>
      <c r="F245" s="236">
        <f t="shared" si="29"/>
        <v>6732000</v>
      </c>
      <c r="G245" s="236">
        <f t="shared" si="30"/>
        <v>7405000</v>
      </c>
      <c r="H245" s="236">
        <f t="shared" si="31"/>
        <v>8146000</v>
      </c>
      <c r="I245" s="232">
        <v>7827000</v>
      </c>
      <c r="J245" s="232">
        <v>8609000</v>
      </c>
    </row>
    <row r="246" spans="1:10" ht="19.899999999999999" customHeight="1">
      <c r="A246" s="234">
        <v>73</v>
      </c>
      <c r="B246" s="222" t="s">
        <v>1396</v>
      </c>
      <c r="C246" s="235">
        <v>4941090</v>
      </c>
      <c r="D246" s="236">
        <f t="shared" si="32"/>
        <v>4942000</v>
      </c>
      <c r="E246" s="236">
        <f t="shared" si="28"/>
        <v>5436000</v>
      </c>
      <c r="F246" s="236">
        <f t="shared" si="29"/>
        <v>6468000</v>
      </c>
      <c r="G246" s="236">
        <f t="shared" si="30"/>
        <v>7115000</v>
      </c>
      <c r="H246" s="236">
        <f t="shared" si="31"/>
        <v>7827000</v>
      </c>
      <c r="I246" s="232">
        <v>7827000</v>
      </c>
      <c r="J246" s="232">
        <v>8609000</v>
      </c>
    </row>
    <row r="247" spans="1:10" ht="19.899999999999999" customHeight="1">
      <c r="A247" s="234">
        <v>74</v>
      </c>
      <c r="B247" s="222" t="s">
        <v>1397</v>
      </c>
      <c r="C247" s="235">
        <v>7906140.0000000009</v>
      </c>
      <c r="D247" s="236">
        <f t="shared" si="32"/>
        <v>7907000</v>
      </c>
      <c r="E247" s="236">
        <f t="shared" si="28"/>
        <v>8697000</v>
      </c>
      <c r="F247" s="236">
        <f t="shared" si="29"/>
        <v>10350000</v>
      </c>
      <c r="G247" s="236">
        <f t="shared" si="30"/>
        <v>11385000</v>
      </c>
      <c r="H247" s="236">
        <f t="shared" si="31"/>
        <v>12523000</v>
      </c>
      <c r="I247" s="232">
        <v>12523000</v>
      </c>
      <c r="J247" s="232">
        <v>13775000</v>
      </c>
    </row>
    <row r="248" spans="1:10" ht="19.899999999999999" customHeight="1">
      <c r="A248" s="234">
        <v>75</v>
      </c>
      <c r="B248" s="222" t="s">
        <v>1398</v>
      </c>
      <c r="C248" s="235">
        <v>4941090</v>
      </c>
      <c r="D248" s="236">
        <f t="shared" si="32"/>
        <v>4942000</v>
      </c>
      <c r="E248" s="236">
        <f t="shared" si="28"/>
        <v>5436000</v>
      </c>
      <c r="F248" s="236">
        <f t="shared" si="29"/>
        <v>6468000</v>
      </c>
      <c r="G248" s="236">
        <f t="shared" si="30"/>
        <v>7115000</v>
      </c>
      <c r="H248" s="236">
        <f t="shared" si="31"/>
        <v>7827000</v>
      </c>
      <c r="I248" s="232">
        <v>7827000</v>
      </c>
      <c r="J248" s="232">
        <v>8609000</v>
      </c>
    </row>
    <row r="249" spans="1:10" ht="19.899999999999999" customHeight="1">
      <c r="A249" s="234">
        <v>76</v>
      </c>
      <c r="B249" s="222" t="s">
        <v>1399</v>
      </c>
      <c r="C249" s="235">
        <v>4941090</v>
      </c>
      <c r="D249" s="236">
        <f t="shared" si="32"/>
        <v>4942000</v>
      </c>
      <c r="E249" s="236">
        <f t="shared" si="28"/>
        <v>5436000</v>
      </c>
      <c r="F249" s="236">
        <f t="shared" si="29"/>
        <v>6468000</v>
      </c>
      <c r="G249" s="236">
        <f t="shared" si="30"/>
        <v>7115000</v>
      </c>
      <c r="H249" s="236">
        <f t="shared" si="31"/>
        <v>7827000</v>
      </c>
      <c r="I249" s="232">
        <v>7827000</v>
      </c>
      <c r="J249" s="232">
        <v>8609000</v>
      </c>
    </row>
    <row r="250" spans="1:10" ht="19.899999999999999" customHeight="1">
      <c r="A250" s="234">
        <v>77</v>
      </c>
      <c r="B250" s="222" t="s">
        <v>1400</v>
      </c>
      <c r="C250" s="235">
        <v>4941090</v>
      </c>
      <c r="D250" s="236">
        <f t="shared" si="32"/>
        <v>4942000</v>
      </c>
      <c r="E250" s="236">
        <f t="shared" si="28"/>
        <v>5436000</v>
      </c>
      <c r="F250" s="236">
        <f t="shared" si="29"/>
        <v>6468000</v>
      </c>
      <c r="G250" s="236">
        <f t="shared" si="30"/>
        <v>7115000</v>
      </c>
      <c r="H250" s="236">
        <f t="shared" si="31"/>
        <v>7827000</v>
      </c>
      <c r="I250" s="232">
        <v>12523000</v>
      </c>
      <c r="J250" s="232">
        <v>13775000</v>
      </c>
    </row>
    <row r="251" spans="1:10" ht="19.899999999999999" customHeight="1">
      <c r="A251" s="234">
        <v>78</v>
      </c>
      <c r="B251" s="222" t="s">
        <v>1401</v>
      </c>
      <c r="C251" s="235">
        <v>4941090</v>
      </c>
      <c r="D251" s="236">
        <f t="shared" si="32"/>
        <v>4942000</v>
      </c>
      <c r="E251" s="236">
        <f t="shared" si="28"/>
        <v>5436000</v>
      </c>
      <c r="F251" s="236">
        <f t="shared" si="29"/>
        <v>6468000</v>
      </c>
      <c r="G251" s="236">
        <f t="shared" si="30"/>
        <v>7115000</v>
      </c>
      <c r="H251" s="236">
        <f t="shared" si="31"/>
        <v>7827000</v>
      </c>
      <c r="I251" s="232">
        <v>7827000</v>
      </c>
      <c r="J251" s="232">
        <v>8609000</v>
      </c>
    </row>
    <row r="252" spans="1:10" ht="19.899999999999999" customHeight="1">
      <c r="A252" s="234">
        <v>79</v>
      </c>
      <c r="B252" s="222" t="s">
        <v>1402</v>
      </c>
      <c r="C252" s="235">
        <v>5313330</v>
      </c>
      <c r="D252" s="236">
        <f t="shared" si="32"/>
        <v>5314000</v>
      </c>
      <c r="E252" s="236">
        <f t="shared" si="28"/>
        <v>5845000</v>
      </c>
      <c r="F252" s="236">
        <f t="shared" si="29"/>
        <v>6956000</v>
      </c>
      <c r="G252" s="236">
        <f t="shared" si="30"/>
        <v>7651000</v>
      </c>
      <c r="H252" s="236">
        <f t="shared" si="31"/>
        <v>8416000</v>
      </c>
      <c r="I252" s="232">
        <v>7827000</v>
      </c>
      <c r="J252" s="232">
        <v>8609000</v>
      </c>
    </row>
    <row r="253" spans="1:10" ht="19.899999999999999" customHeight="1">
      <c r="A253" s="234">
        <v>80</v>
      </c>
      <c r="B253" s="222" t="s">
        <v>1403</v>
      </c>
      <c r="C253" s="235">
        <v>4941090</v>
      </c>
      <c r="D253" s="236">
        <f t="shared" si="32"/>
        <v>4942000</v>
      </c>
      <c r="E253" s="236">
        <f t="shared" si="28"/>
        <v>5436000</v>
      </c>
      <c r="F253" s="236">
        <f t="shared" si="29"/>
        <v>6468000</v>
      </c>
      <c r="G253" s="236">
        <f t="shared" si="30"/>
        <v>7115000</v>
      </c>
      <c r="H253" s="236">
        <f t="shared" si="31"/>
        <v>7827000</v>
      </c>
      <c r="I253" s="232">
        <v>12523000</v>
      </c>
      <c r="J253" s="232">
        <v>13775000</v>
      </c>
    </row>
    <row r="254" spans="1:10" ht="19.899999999999999" customHeight="1">
      <c r="A254" s="234">
        <v>81</v>
      </c>
      <c r="B254" s="222" t="s">
        <v>1404</v>
      </c>
      <c r="C254" s="235">
        <v>4941090</v>
      </c>
      <c r="D254" s="236">
        <f t="shared" si="32"/>
        <v>4942000</v>
      </c>
      <c r="E254" s="236">
        <f t="shared" si="28"/>
        <v>5436000</v>
      </c>
      <c r="F254" s="236">
        <f t="shared" si="29"/>
        <v>6468000</v>
      </c>
      <c r="G254" s="236">
        <f t="shared" si="30"/>
        <v>7115000</v>
      </c>
      <c r="H254" s="236">
        <f t="shared" si="31"/>
        <v>7827000</v>
      </c>
      <c r="I254" s="232">
        <v>7827000</v>
      </c>
      <c r="J254" s="232">
        <v>8609000</v>
      </c>
    </row>
    <row r="255" spans="1:10" ht="19.899999999999999" customHeight="1">
      <c r="A255" s="234">
        <v>82</v>
      </c>
      <c r="B255" s="222" t="s">
        <v>1405</v>
      </c>
      <c r="C255" s="235">
        <v>6683490.0000000009</v>
      </c>
      <c r="D255" s="236">
        <f t="shared" si="32"/>
        <v>6684000</v>
      </c>
      <c r="E255" s="236">
        <f t="shared" si="28"/>
        <v>7352000</v>
      </c>
      <c r="F255" s="236">
        <f t="shared" si="29"/>
        <v>8749000</v>
      </c>
      <c r="G255" s="236">
        <f t="shared" si="30"/>
        <v>9624000</v>
      </c>
      <c r="H255" s="236">
        <f t="shared" si="31"/>
        <v>10586000</v>
      </c>
      <c r="I255" s="232">
        <v>7827000</v>
      </c>
      <c r="J255" s="232">
        <v>8609000</v>
      </c>
    </row>
    <row r="256" spans="1:10" ht="19.899999999999999" customHeight="1">
      <c r="A256" s="234">
        <v>83</v>
      </c>
      <c r="B256" s="222" t="s">
        <v>1406</v>
      </c>
      <c r="C256" s="235">
        <v>4941090</v>
      </c>
      <c r="D256" s="236">
        <f t="shared" si="32"/>
        <v>4942000</v>
      </c>
      <c r="E256" s="236">
        <f t="shared" si="28"/>
        <v>5436000</v>
      </c>
      <c r="F256" s="236">
        <f t="shared" si="29"/>
        <v>6468000</v>
      </c>
      <c r="G256" s="236">
        <f t="shared" si="30"/>
        <v>7115000</v>
      </c>
      <c r="H256" s="236">
        <f t="shared" si="31"/>
        <v>7827000</v>
      </c>
      <c r="I256" s="232">
        <v>12523000</v>
      </c>
      <c r="J256" s="232">
        <v>13775000</v>
      </c>
    </row>
    <row r="257" spans="1:10" ht="19.899999999999999" customHeight="1">
      <c r="A257" s="234">
        <v>84</v>
      </c>
      <c r="B257" s="222" t="s">
        <v>1407</v>
      </c>
      <c r="C257" s="235">
        <v>5313330</v>
      </c>
      <c r="D257" s="236">
        <f t="shared" si="32"/>
        <v>5314000</v>
      </c>
      <c r="E257" s="236">
        <f t="shared" si="28"/>
        <v>5845000</v>
      </c>
      <c r="F257" s="236">
        <f t="shared" si="29"/>
        <v>6956000</v>
      </c>
      <c r="G257" s="236">
        <f t="shared" si="30"/>
        <v>7651000</v>
      </c>
      <c r="H257" s="236">
        <f t="shared" si="31"/>
        <v>8416000</v>
      </c>
      <c r="I257" s="232">
        <v>7827000</v>
      </c>
      <c r="J257" s="232">
        <v>8609000</v>
      </c>
    </row>
    <row r="258" spans="1:10" ht="19.899999999999999" customHeight="1">
      <c r="A258" s="234">
        <v>85</v>
      </c>
      <c r="B258" s="222" t="s">
        <v>1408</v>
      </c>
      <c r="C258" s="235">
        <v>5313330</v>
      </c>
      <c r="D258" s="236">
        <f t="shared" si="32"/>
        <v>5314000</v>
      </c>
      <c r="E258" s="236">
        <f t="shared" si="28"/>
        <v>5845000</v>
      </c>
      <c r="F258" s="236">
        <f t="shared" si="29"/>
        <v>6956000</v>
      </c>
      <c r="G258" s="236">
        <f t="shared" si="30"/>
        <v>7651000</v>
      </c>
      <c r="H258" s="236">
        <f t="shared" si="31"/>
        <v>8416000</v>
      </c>
      <c r="I258" s="232">
        <v>7827000</v>
      </c>
      <c r="J258" s="232">
        <v>8609000</v>
      </c>
    </row>
    <row r="259" spans="1:10" ht="19.899999999999999" customHeight="1">
      <c r="A259" s="234">
        <v>86</v>
      </c>
      <c r="B259" s="222" t="s">
        <v>1409</v>
      </c>
      <c r="C259" s="235">
        <v>4941090</v>
      </c>
      <c r="D259" s="236">
        <f t="shared" si="32"/>
        <v>4942000</v>
      </c>
      <c r="E259" s="236">
        <f t="shared" si="28"/>
        <v>5436000</v>
      </c>
      <c r="F259" s="236">
        <f t="shared" si="29"/>
        <v>6468000</v>
      </c>
      <c r="G259" s="236">
        <f t="shared" si="30"/>
        <v>7115000</v>
      </c>
      <c r="H259" s="236">
        <f t="shared" si="31"/>
        <v>7827000</v>
      </c>
      <c r="I259" s="232">
        <v>12523000</v>
      </c>
      <c r="J259" s="232">
        <v>13775000</v>
      </c>
    </row>
    <row r="260" spans="1:10" ht="19.899999999999999" customHeight="1">
      <c r="A260" s="234">
        <v>87</v>
      </c>
      <c r="B260" s="222" t="s">
        <v>1410</v>
      </c>
      <c r="C260" s="235">
        <v>4941090</v>
      </c>
      <c r="D260" s="236">
        <f t="shared" si="32"/>
        <v>4942000</v>
      </c>
      <c r="E260" s="236">
        <f t="shared" si="28"/>
        <v>5436000</v>
      </c>
      <c r="F260" s="236">
        <f t="shared" si="29"/>
        <v>6468000</v>
      </c>
      <c r="G260" s="236">
        <f t="shared" si="30"/>
        <v>7115000</v>
      </c>
      <c r="H260" s="236">
        <f t="shared" si="31"/>
        <v>7827000</v>
      </c>
      <c r="I260" s="232">
        <v>8416000</v>
      </c>
      <c r="J260" s="232">
        <v>9258000</v>
      </c>
    </row>
    <row r="261" spans="1:10" ht="19.899999999999999" customHeight="1">
      <c r="A261" s="234">
        <v>88</v>
      </c>
      <c r="B261" s="222" t="s">
        <v>1411</v>
      </c>
      <c r="C261" s="235">
        <v>4941090</v>
      </c>
      <c r="D261" s="236">
        <f t="shared" si="32"/>
        <v>4942000</v>
      </c>
      <c r="E261" s="236">
        <f t="shared" si="28"/>
        <v>5436000</v>
      </c>
      <c r="F261" s="236">
        <f t="shared" si="29"/>
        <v>6468000</v>
      </c>
      <c r="G261" s="236">
        <f t="shared" si="30"/>
        <v>7115000</v>
      </c>
      <c r="H261" s="236">
        <f t="shared" si="31"/>
        <v>7827000</v>
      </c>
      <c r="I261" s="232">
        <v>5464000</v>
      </c>
      <c r="J261" s="232">
        <v>6010000</v>
      </c>
    </row>
    <row r="262" spans="1:10" ht="19.899999999999999" customHeight="1">
      <c r="A262" s="234">
        <v>89</v>
      </c>
      <c r="B262" s="222" t="s">
        <v>1412</v>
      </c>
      <c r="C262" s="235">
        <v>5313330</v>
      </c>
      <c r="D262" s="236">
        <f t="shared" si="32"/>
        <v>5314000</v>
      </c>
      <c r="E262" s="236">
        <f t="shared" si="28"/>
        <v>5845000</v>
      </c>
      <c r="F262" s="236">
        <f t="shared" si="29"/>
        <v>6956000</v>
      </c>
      <c r="G262" s="236">
        <f t="shared" si="30"/>
        <v>7651000</v>
      </c>
      <c r="H262" s="236">
        <f t="shared" si="31"/>
        <v>8416000</v>
      </c>
      <c r="I262" s="232">
        <v>7827000</v>
      </c>
      <c r="J262" s="232">
        <v>8609000</v>
      </c>
    </row>
    <row r="263" spans="1:10" ht="19.899999999999999" customHeight="1">
      <c r="A263" s="234">
        <v>90</v>
      </c>
      <c r="B263" s="222" t="s">
        <v>1413</v>
      </c>
      <c r="C263" s="235">
        <v>5313330</v>
      </c>
      <c r="D263" s="236">
        <f t="shared" si="32"/>
        <v>5314000</v>
      </c>
      <c r="E263" s="236">
        <f t="shared" si="28"/>
        <v>5845000</v>
      </c>
      <c r="F263" s="236">
        <f t="shared" si="29"/>
        <v>6956000</v>
      </c>
      <c r="G263" s="236">
        <f t="shared" si="30"/>
        <v>7651000</v>
      </c>
      <c r="H263" s="236">
        <f t="shared" si="31"/>
        <v>8416000</v>
      </c>
      <c r="I263" s="232"/>
      <c r="J263" s="232"/>
    </row>
    <row r="264" spans="1:10" ht="19.899999999999999" customHeight="1">
      <c r="A264" s="234">
        <v>91</v>
      </c>
      <c r="B264" s="222" t="s">
        <v>1414</v>
      </c>
      <c r="C264" s="235">
        <v>4941090</v>
      </c>
      <c r="D264" s="236">
        <f t="shared" si="32"/>
        <v>4942000</v>
      </c>
      <c r="E264" s="236">
        <f t="shared" si="28"/>
        <v>5436000</v>
      </c>
      <c r="F264" s="236">
        <f t="shared" si="29"/>
        <v>6468000</v>
      </c>
      <c r="G264" s="236">
        <f t="shared" si="30"/>
        <v>7115000</v>
      </c>
      <c r="H264" s="236">
        <f t="shared" si="31"/>
        <v>7827000</v>
      </c>
      <c r="I264" s="232"/>
      <c r="J264" s="232"/>
    </row>
    <row r="265" spans="1:10" ht="19.899999999999999" customHeight="1">
      <c r="A265" s="234">
        <v>92</v>
      </c>
      <c r="B265" s="222" t="s">
        <v>1415</v>
      </c>
      <c r="C265" s="235">
        <v>7906140.0000000009</v>
      </c>
      <c r="D265" s="236">
        <f t="shared" si="32"/>
        <v>7907000</v>
      </c>
      <c r="E265" s="236">
        <f t="shared" si="28"/>
        <v>8697000</v>
      </c>
      <c r="F265" s="236">
        <f t="shared" si="29"/>
        <v>10350000</v>
      </c>
      <c r="G265" s="236">
        <f t="shared" si="30"/>
        <v>11385000</v>
      </c>
      <c r="H265" s="236">
        <f t="shared" si="31"/>
        <v>12523000</v>
      </c>
      <c r="I265" s="232"/>
      <c r="J265" s="232"/>
    </row>
    <row r="266" spans="1:10" ht="19.899999999999999" customHeight="1">
      <c r="A266" s="234">
        <v>93</v>
      </c>
      <c r="B266" s="222" t="s">
        <v>1416</v>
      </c>
      <c r="C266" s="235">
        <v>4941090</v>
      </c>
      <c r="D266" s="236">
        <f t="shared" si="32"/>
        <v>4942000</v>
      </c>
      <c r="E266" s="236">
        <f t="shared" si="28"/>
        <v>5436000</v>
      </c>
      <c r="F266" s="236">
        <f t="shared" si="29"/>
        <v>6468000</v>
      </c>
      <c r="G266" s="236">
        <f t="shared" si="30"/>
        <v>7115000</v>
      </c>
      <c r="H266" s="236">
        <f t="shared" si="31"/>
        <v>7827000</v>
      </c>
      <c r="I266" s="232"/>
      <c r="J266" s="232"/>
    </row>
    <row r="267" spans="1:10" ht="19.899999999999999" customHeight="1">
      <c r="A267" s="234">
        <v>94</v>
      </c>
      <c r="B267" s="222" t="s">
        <v>1417</v>
      </c>
      <c r="C267" s="235">
        <v>3449160.0000000005</v>
      </c>
      <c r="D267" s="236">
        <f t="shared" si="32"/>
        <v>3450000</v>
      </c>
      <c r="E267" s="236">
        <f t="shared" si="28"/>
        <v>3795000</v>
      </c>
      <c r="F267" s="236">
        <f t="shared" si="29"/>
        <v>4515000</v>
      </c>
      <c r="G267" s="236">
        <f t="shared" si="30"/>
        <v>4967000</v>
      </c>
      <c r="H267" s="236">
        <f t="shared" si="31"/>
        <v>5464000</v>
      </c>
      <c r="I267" s="232"/>
      <c r="J267" s="232"/>
    </row>
    <row r="268" spans="1:10" ht="16.5" thickBot="1">
      <c r="A268" s="228" t="s">
        <v>778</v>
      </c>
      <c r="B268" s="229"/>
      <c r="C268" s="233"/>
      <c r="D268" s="230"/>
      <c r="E268" s="230"/>
      <c r="F268" s="230"/>
      <c r="G268" s="230"/>
      <c r="H268" s="230"/>
      <c r="I268" s="238"/>
      <c r="J268" s="238"/>
    </row>
    <row r="269" spans="1:10" ht="30.75" thickBot="1">
      <c r="A269" s="239" t="s">
        <v>15</v>
      </c>
      <c r="B269" s="240" t="s">
        <v>62</v>
      </c>
      <c r="C269" s="240"/>
      <c r="D269" s="241" t="s">
        <v>134</v>
      </c>
      <c r="E269" s="241" t="s">
        <v>21</v>
      </c>
      <c r="F269" s="241" t="s">
        <v>2306</v>
      </c>
      <c r="G269" s="241" t="s">
        <v>2305</v>
      </c>
      <c r="H269" s="241" t="s">
        <v>498</v>
      </c>
      <c r="I269" s="242" t="s">
        <v>60</v>
      </c>
      <c r="J269" s="242" t="s">
        <v>61</v>
      </c>
    </row>
    <row r="270" spans="1:10" ht="19.899999999999999" customHeight="1">
      <c r="A270" s="243">
        <v>1</v>
      </c>
      <c r="B270" s="222" t="s">
        <v>1418</v>
      </c>
      <c r="C270" s="235">
        <v>6389460.0000000009</v>
      </c>
      <c r="D270" s="236">
        <f t="shared" ref="D270:D301" si="33">ROUNDUP(C270,-3)</f>
        <v>6390000</v>
      </c>
      <c r="E270" s="236">
        <f t="shared" ref="E270:E301" si="34">ROUNDUP($C270*1.1,-3)</f>
        <v>7029000</v>
      </c>
      <c r="F270" s="236">
        <f t="shared" ref="F270:F301" si="35">ROUNDUP($C270*1.1*1.19,-3)</f>
        <v>8364000</v>
      </c>
      <c r="G270" s="236">
        <f t="shared" ref="G270:G301" si="36">ROUNDUP($C270*1.1*1.19*1.1,-3)</f>
        <v>9201000</v>
      </c>
      <c r="H270" s="236">
        <f t="shared" ref="H270:H301" si="37">ROUNDUP($C270*1.1*1.19*1.1*1.1,-3)</f>
        <v>10121000</v>
      </c>
      <c r="I270" s="244">
        <v>9809000</v>
      </c>
      <c r="J270" s="244">
        <v>10789000</v>
      </c>
    </row>
    <row r="271" spans="1:10" ht="19.899999999999999" customHeight="1">
      <c r="A271" s="234">
        <v>2</v>
      </c>
      <c r="B271" s="222" t="s">
        <v>1419</v>
      </c>
      <c r="C271" s="235">
        <v>6869610.0000000009</v>
      </c>
      <c r="D271" s="236">
        <f t="shared" si="33"/>
        <v>6870000</v>
      </c>
      <c r="E271" s="236">
        <f t="shared" si="34"/>
        <v>7557000</v>
      </c>
      <c r="F271" s="236">
        <f t="shared" si="35"/>
        <v>8993000</v>
      </c>
      <c r="G271" s="236">
        <f t="shared" si="36"/>
        <v>9892000</v>
      </c>
      <c r="H271" s="236">
        <f t="shared" si="37"/>
        <v>10881000</v>
      </c>
      <c r="I271" s="244">
        <v>13202000</v>
      </c>
      <c r="J271" s="244">
        <v>14522000</v>
      </c>
    </row>
    <row r="272" spans="1:10" ht="19.899999999999999" customHeight="1">
      <c r="A272" s="234">
        <v>3</v>
      </c>
      <c r="B272" s="222" t="s">
        <v>1420</v>
      </c>
      <c r="C272" s="235">
        <v>6869610.0000000009</v>
      </c>
      <c r="D272" s="236">
        <f t="shared" si="33"/>
        <v>6870000</v>
      </c>
      <c r="E272" s="236">
        <f t="shared" si="34"/>
        <v>7557000</v>
      </c>
      <c r="F272" s="236">
        <f t="shared" si="35"/>
        <v>8993000</v>
      </c>
      <c r="G272" s="236">
        <f t="shared" si="36"/>
        <v>9892000</v>
      </c>
      <c r="H272" s="236">
        <f t="shared" si="37"/>
        <v>10881000</v>
      </c>
      <c r="I272" s="244">
        <v>13202000</v>
      </c>
      <c r="J272" s="244">
        <v>14522000</v>
      </c>
    </row>
    <row r="273" spans="1:10" ht="19.899999999999999" customHeight="1">
      <c r="A273" s="234">
        <v>4</v>
      </c>
      <c r="B273" s="222" t="s">
        <v>1421</v>
      </c>
      <c r="C273" s="235">
        <v>6869610.0000000009</v>
      </c>
      <c r="D273" s="236">
        <f t="shared" si="33"/>
        <v>6870000</v>
      </c>
      <c r="E273" s="236">
        <f t="shared" si="34"/>
        <v>7557000</v>
      </c>
      <c r="F273" s="236">
        <f t="shared" si="35"/>
        <v>8993000</v>
      </c>
      <c r="G273" s="236">
        <f t="shared" si="36"/>
        <v>9892000</v>
      </c>
      <c r="H273" s="236">
        <f t="shared" si="37"/>
        <v>10881000</v>
      </c>
      <c r="I273" s="244">
        <v>13202000</v>
      </c>
      <c r="J273" s="244">
        <v>14522000</v>
      </c>
    </row>
    <row r="274" spans="1:10" ht="19.899999999999999" customHeight="1">
      <c r="A274" s="234">
        <v>5</v>
      </c>
      <c r="B274" s="222" t="s">
        <v>1422</v>
      </c>
      <c r="C274" s="235">
        <v>6869610.0000000009</v>
      </c>
      <c r="D274" s="236">
        <f t="shared" si="33"/>
        <v>6870000</v>
      </c>
      <c r="E274" s="236">
        <f t="shared" si="34"/>
        <v>7557000</v>
      </c>
      <c r="F274" s="236">
        <f t="shared" si="35"/>
        <v>8993000</v>
      </c>
      <c r="G274" s="236">
        <f t="shared" si="36"/>
        <v>9892000</v>
      </c>
      <c r="H274" s="236">
        <f t="shared" si="37"/>
        <v>10881000</v>
      </c>
      <c r="I274" s="244">
        <v>13202000</v>
      </c>
      <c r="J274" s="244">
        <v>14522000</v>
      </c>
    </row>
    <row r="275" spans="1:10" ht="19.899999999999999" customHeight="1">
      <c r="A275" s="234">
        <v>6</v>
      </c>
      <c r="B275" s="222" t="s">
        <v>1423</v>
      </c>
      <c r="C275" s="235">
        <v>6869610.0000000009</v>
      </c>
      <c r="D275" s="236">
        <f t="shared" si="33"/>
        <v>6870000</v>
      </c>
      <c r="E275" s="236">
        <f t="shared" si="34"/>
        <v>7557000</v>
      </c>
      <c r="F275" s="236">
        <f t="shared" si="35"/>
        <v>8993000</v>
      </c>
      <c r="G275" s="236">
        <f t="shared" si="36"/>
        <v>9892000</v>
      </c>
      <c r="H275" s="236">
        <f t="shared" si="37"/>
        <v>10881000</v>
      </c>
      <c r="I275" s="244">
        <v>13202000</v>
      </c>
      <c r="J275" s="244">
        <v>14522000</v>
      </c>
    </row>
    <row r="276" spans="1:10" ht="19.899999999999999" customHeight="1">
      <c r="A276" s="234">
        <v>7</v>
      </c>
      <c r="B276" s="222" t="s">
        <v>1424</v>
      </c>
      <c r="C276" s="235">
        <v>6389460.0000000009</v>
      </c>
      <c r="D276" s="236">
        <f t="shared" si="33"/>
        <v>6390000</v>
      </c>
      <c r="E276" s="236">
        <f t="shared" si="34"/>
        <v>7029000</v>
      </c>
      <c r="F276" s="236">
        <f t="shared" si="35"/>
        <v>8364000</v>
      </c>
      <c r="G276" s="236">
        <f t="shared" si="36"/>
        <v>9201000</v>
      </c>
      <c r="H276" s="236">
        <f t="shared" si="37"/>
        <v>10121000</v>
      </c>
      <c r="I276" s="244">
        <v>13202000</v>
      </c>
      <c r="J276" s="244">
        <v>14522000</v>
      </c>
    </row>
    <row r="277" spans="1:10" ht="19.899999999999999" customHeight="1">
      <c r="A277" s="234">
        <v>8</v>
      </c>
      <c r="B277" s="222" t="s">
        <v>1425</v>
      </c>
      <c r="C277" s="235">
        <v>8334810.0000000009</v>
      </c>
      <c r="D277" s="236">
        <f t="shared" si="33"/>
        <v>8335000</v>
      </c>
      <c r="E277" s="236">
        <f t="shared" si="34"/>
        <v>9169000</v>
      </c>
      <c r="F277" s="236">
        <f t="shared" si="35"/>
        <v>10911000</v>
      </c>
      <c r="G277" s="236">
        <f t="shared" si="36"/>
        <v>12002000</v>
      </c>
      <c r="H277" s="236">
        <f t="shared" si="37"/>
        <v>13202000</v>
      </c>
      <c r="I277" s="244">
        <v>13202000</v>
      </c>
      <c r="J277" s="244">
        <v>14522000</v>
      </c>
    </row>
    <row r="278" spans="1:10" ht="19.899999999999999" customHeight="1">
      <c r="A278" s="234">
        <v>9</v>
      </c>
      <c r="B278" s="222" t="s">
        <v>1426</v>
      </c>
      <c r="C278" s="235">
        <v>6389460.0000000009</v>
      </c>
      <c r="D278" s="236">
        <f t="shared" si="33"/>
        <v>6390000</v>
      </c>
      <c r="E278" s="236">
        <f t="shared" si="34"/>
        <v>7029000</v>
      </c>
      <c r="F278" s="236">
        <f t="shared" si="35"/>
        <v>8364000</v>
      </c>
      <c r="G278" s="236">
        <f t="shared" si="36"/>
        <v>9201000</v>
      </c>
      <c r="H278" s="236">
        <f t="shared" si="37"/>
        <v>10121000</v>
      </c>
      <c r="I278" s="244">
        <v>13202000</v>
      </c>
      <c r="J278" s="244">
        <v>14522000</v>
      </c>
    </row>
    <row r="279" spans="1:10" ht="19.899999999999999" customHeight="1">
      <c r="A279" s="234">
        <v>10</v>
      </c>
      <c r="B279" s="222" t="s">
        <v>1427</v>
      </c>
      <c r="C279" s="235">
        <v>6389460.0000000009</v>
      </c>
      <c r="D279" s="236">
        <f t="shared" si="33"/>
        <v>6390000</v>
      </c>
      <c r="E279" s="236">
        <f t="shared" si="34"/>
        <v>7029000</v>
      </c>
      <c r="F279" s="236">
        <f t="shared" si="35"/>
        <v>8364000</v>
      </c>
      <c r="G279" s="236">
        <f t="shared" si="36"/>
        <v>9201000</v>
      </c>
      <c r="H279" s="236">
        <f t="shared" si="37"/>
        <v>10121000</v>
      </c>
      <c r="I279" s="244">
        <v>13202000</v>
      </c>
      <c r="J279" s="244">
        <v>14522000</v>
      </c>
    </row>
    <row r="280" spans="1:10" ht="19.899999999999999" customHeight="1">
      <c r="A280" s="234">
        <v>11</v>
      </c>
      <c r="B280" s="222" t="s">
        <v>1428</v>
      </c>
      <c r="C280" s="235">
        <v>10693980</v>
      </c>
      <c r="D280" s="236">
        <f t="shared" si="33"/>
        <v>10694000</v>
      </c>
      <c r="E280" s="236">
        <f t="shared" si="34"/>
        <v>11764000</v>
      </c>
      <c r="F280" s="236">
        <f t="shared" si="35"/>
        <v>13999000</v>
      </c>
      <c r="G280" s="236">
        <f t="shared" si="36"/>
        <v>15399000</v>
      </c>
      <c r="H280" s="236">
        <f t="shared" si="37"/>
        <v>16939000</v>
      </c>
      <c r="I280" s="244">
        <v>13202000</v>
      </c>
      <c r="J280" s="244">
        <v>14522000</v>
      </c>
    </row>
    <row r="281" spans="1:10" ht="19.899999999999999" customHeight="1">
      <c r="A281" s="234">
        <v>12</v>
      </c>
      <c r="B281" s="222" t="s">
        <v>1429</v>
      </c>
      <c r="C281" s="235">
        <v>6683490.0000000009</v>
      </c>
      <c r="D281" s="236">
        <f t="shared" si="33"/>
        <v>6684000</v>
      </c>
      <c r="E281" s="236">
        <f t="shared" si="34"/>
        <v>7352000</v>
      </c>
      <c r="F281" s="236">
        <f t="shared" si="35"/>
        <v>8749000</v>
      </c>
      <c r="G281" s="236">
        <f t="shared" si="36"/>
        <v>9624000</v>
      </c>
      <c r="H281" s="236">
        <f t="shared" si="37"/>
        <v>10586000</v>
      </c>
      <c r="I281" s="244">
        <v>13202000</v>
      </c>
      <c r="J281" s="244">
        <v>14522000</v>
      </c>
    </row>
    <row r="282" spans="1:10" ht="19.899999999999999" customHeight="1">
      <c r="A282" s="234">
        <v>13</v>
      </c>
      <c r="B282" s="222" t="s">
        <v>1430</v>
      </c>
      <c r="C282" s="235">
        <v>6683490.0000000009</v>
      </c>
      <c r="D282" s="236">
        <f t="shared" si="33"/>
        <v>6684000</v>
      </c>
      <c r="E282" s="236">
        <f t="shared" si="34"/>
        <v>7352000</v>
      </c>
      <c r="F282" s="236">
        <f t="shared" si="35"/>
        <v>8749000</v>
      </c>
      <c r="G282" s="236">
        <f t="shared" si="36"/>
        <v>9624000</v>
      </c>
      <c r="H282" s="236">
        <f t="shared" si="37"/>
        <v>10586000</v>
      </c>
      <c r="I282" s="244">
        <v>10586000</v>
      </c>
      <c r="J282" s="244">
        <v>11645000</v>
      </c>
    </row>
    <row r="283" spans="1:10" ht="19.899999999999999" customHeight="1">
      <c r="A283" s="234">
        <v>14</v>
      </c>
      <c r="B283" s="222" t="s">
        <v>1431</v>
      </c>
      <c r="C283" s="235">
        <v>10693980</v>
      </c>
      <c r="D283" s="236">
        <f t="shared" si="33"/>
        <v>10694000</v>
      </c>
      <c r="E283" s="236">
        <f t="shared" si="34"/>
        <v>11764000</v>
      </c>
      <c r="F283" s="236">
        <f t="shared" si="35"/>
        <v>13999000</v>
      </c>
      <c r="G283" s="236">
        <f t="shared" si="36"/>
        <v>15399000</v>
      </c>
      <c r="H283" s="236">
        <f t="shared" si="37"/>
        <v>16939000</v>
      </c>
      <c r="I283" s="244">
        <v>10586000</v>
      </c>
      <c r="J283" s="244">
        <v>11645000</v>
      </c>
    </row>
    <row r="284" spans="1:10" ht="19.899999999999999" customHeight="1">
      <c r="A284" s="234">
        <v>15</v>
      </c>
      <c r="B284" s="222" t="s">
        <v>1432</v>
      </c>
      <c r="C284" s="235">
        <v>6683490.0000000009</v>
      </c>
      <c r="D284" s="236">
        <f t="shared" si="33"/>
        <v>6684000</v>
      </c>
      <c r="E284" s="236">
        <f t="shared" si="34"/>
        <v>7352000</v>
      </c>
      <c r="F284" s="236">
        <f t="shared" si="35"/>
        <v>8749000</v>
      </c>
      <c r="G284" s="236">
        <f t="shared" si="36"/>
        <v>9624000</v>
      </c>
      <c r="H284" s="236">
        <f t="shared" si="37"/>
        <v>10586000</v>
      </c>
      <c r="I284" s="244">
        <v>9809000</v>
      </c>
      <c r="J284" s="244">
        <v>10789000</v>
      </c>
    </row>
    <row r="285" spans="1:10" ht="19.899999999999999" customHeight="1">
      <c r="A285" s="234">
        <v>16</v>
      </c>
      <c r="B285" s="222" t="s">
        <v>1433</v>
      </c>
      <c r="C285" s="235">
        <v>6683490.0000000009</v>
      </c>
      <c r="D285" s="236">
        <f t="shared" si="33"/>
        <v>6684000</v>
      </c>
      <c r="E285" s="236">
        <f t="shared" si="34"/>
        <v>7352000</v>
      </c>
      <c r="F285" s="236">
        <f t="shared" si="35"/>
        <v>8749000</v>
      </c>
      <c r="G285" s="236">
        <f t="shared" si="36"/>
        <v>9624000</v>
      </c>
      <c r="H285" s="236">
        <f t="shared" si="37"/>
        <v>10586000</v>
      </c>
      <c r="I285" s="244">
        <v>9809000</v>
      </c>
      <c r="J285" s="244">
        <v>10789000</v>
      </c>
    </row>
    <row r="286" spans="1:10" ht="19.899999999999999" customHeight="1">
      <c r="A286" s="234">
        <v>17</v>
      </c>
      <c r="B286" s="222" t="s">
        <v>1131</v>
      </c>
      <c r="C286" s="235">
        <v>7502000.0000000009</v>
      </c>
      <c r="D286" s="236">
        <f t="shared" si="33"/>
        <v>7502000</v>
      </c>
      <c r="E286" s="236">
        <f t="shared" si="34"/>
        <v>8253000</v>
      </c>
      <c r="F286" s="236">
        <f t="shared" si="35"/>
        <v>9821000</v>
      </c>
      <c r="G286" s="236">
        <f t="shared" si="36"/>
        <v>10803000</v>
      </c>
      <c r="H286" s="236">
        <f t="shared" si="37"/>
        <v>11883000</v>
      </c>
      <c r="I286" s="244">
        <v>9809000</v>
      </c>
      <c r="J286" s="244">
        <v>10789000</v>
      </c>
    </row>
    <row r="287" spans="1:10" ht="19.899999999999999" customHeight="1">
      <c r="A287" s="234">
        <v>18</v>
      </c>
      <c r="B287" s="222" t="s">
        <v>1434</v>
      </c>
      <c r="C287" s="235">
        <v>10693980</v>
      </c>
      <c r="D287" s="236">
        <f t="shared" si="33"/>
        <v>10694000</v>
      </c>
      <c r="E287" s="236">
        <f t="shared" si="34"/>
        <v>11764000</v>
      </c>
      <c r="F287" s="236">
        <f t="shared" si="35"/>
        <v>13999000</v>
      </c>
      <c r="G287" s="236">
        <f t="shared" si="36"/>
        <v>15399000</v>
      </c>
      <c r="H287" s="236">
        <f t="shared" si="37"/>
        <v>16939000</v>
      </c>
      <c r="I287" s="244">
        <v>9809000</v>
      </c>
      <c r="J287" s="244">
        <v>10789000</v>
      </c>
    </row>
    <row r="288" spans="1:10" ht="19.899999999999999" customHeight="1">
      <c r="A288" s="234">
        <v>19</v>
      </c>
      <c r="B288" s="222" t="s">
        <v>1435</v>
      </c>
      <c r="C288" s="235">
        <v>6683490.0000000009</v>
      </c>
      <c r="D288" s="236">
        <f t="shared" si="33"/>
        <v>6684000</v>
      </c>
      <c r="E288" s="236">
        <f t="shared" si="34"/>
        <v>7352000</v>
      </c>
      <c r="F288" s="236">
        <f t="shared" si="35"/>
        <v>8749000</v>
      </c>
      <c r="G288" s="236">
        <f t="shared" si="36"/>
        <v>9624000</v>
      </c>
      <c r="H288" s="236">
        <f t="shared" si="37"/>
        <v>10586000</v>
      </c>
      <c r="I288" s="244">
        <v>9809000</v>
      </c>
      <c r="J288" s="244">
        <v>10789000</v>
      </c>
    </row>
    <row r="289" spans="1:10" ht="19.899999999999999" customHeight="1">
      <c r="A289" s="234">
        <v>20</v>
      </c>
      <c r="B289" s="222" t="s">
        <v>1436</v>
      </c>
      <c r="C289" s="235">
        <v>6683490.0000000009</v>
      </c>
      <c r="D289" s="236">
        <f t="shared" si="33"/>
        <v>6684000</v>
      </c>
      <c r="E289" s="236">
        <f t="shared" si="34"/>
        <v>7352000</v>
      </c>
      <c r="F289" s="236">
        <f t="shared" si="35"/>
        <v>8749000</v>
      </c>
      <c r="G289" s="236">
        <f t="shared" si="36"/>
        <v>9624000</v>
      </c>
      <c r="H289" s="236">
        <f t="shared" si="37"/>
        <v>10586000</v>
      </c>
      <c r="I289" s="244">
        <v>9809000</v>
      </c>
      <c r="J289" s="244">
        <v>10789000</v>
      </c>
    </row>
    <row r="290" spans="1:10" ht="19.899999999999999" customHeight="1">
      <c r="A290" s="234">
        <v>21</v>
      </c>
      <c r="B290" s="222" t="s">
        <v>1437</v>
      </c>
      <c r="C290" s="235">
        <v>10693980</v>
      </c>
      <c r="D290" s="236">
        <f t="shared" si="33"/>
        <v>10694000</v>
      </c>
      <c r="E290" s="236">
        <f t="shared" si="34"/>
        <v>11764000</v>
      </c>
      <c r="F290" s="236">
        <f t="shared" si="35"/>
        <v>13999000</v>
      </c>
      <c r="G290" s="236">
        <f t="shared" si="36"/>
        <v>15399000</v>
      </c>
      <c r="H290" s="236">
        <f t="shared" si="37"/>
        <v>16939000</v>
      </c>
      <c r="I290" s="244">
        <v>10586000</v>
      </c>
      <c r="J290" s="244">
        <v>11645000</v>
      </c>
    </row>
    <row r="291" spans="1:10" ht="19.899999999999999" customHeight="1">
      <c r="A291" s="234">
        <v>22</v>
      </c>
      <c r="B291" s="222" t="s">
        <v>1438</v>
      </c>
      <c r="C291" s="235">
        <v>6683490.0000000009</v>
      </c>
      <c r="D291" s="236">
        <f t="shared" si="33"/>
        <v>6684000</v>
      </c>
      <c r="E291" s="236">
        <f t="shared" si="34"/>
        <v>7352000</v>
      </c>
      <c r="F291" s="236">
        <f t="shared" si="35"/>
        <v>8749000</v>
      </c>
      <c r="G291" s="236">
        <f t="shared" si="36"/>
        <v>9624000</v>
      </c>
      <c r="H291" s="236">
        <f t="shared" si="37"/>
        <v>10586000</v>
      </c>
      <c r="I291" s="244">
        <v>10586000</v>
      </c>
      <c r="J291" s="244">
        <v>11645000</v>
      </c>
    </row>
    <row r="292" spans="1:10" ht="19.899999999999999" customHeight="1">
      <c r="A292" s="234">
        <v>23</v>
      </c>
      <c r="B292" s="222" t="s">
        <v>1439</v>
      </c>
      <c r="C292" s="235">
        <v>6683490.0000000009</v>
      </c>
      <c r="D292" s="236">
        <f t="shared" si="33"/>
        <v>6684000</v>
      </c>
      <c r="E292" s="236">
        <f t="shared" si="34"/>
        <v>7352000</v>
      </c>
      <c r="F292" s="236">
        <f t="shared" si="35"/>
        <v>8749000</v>
      </c>
      <c r="G292" s="236">
        <f t="shared" si="36"/>
        <v>9624000</v>
      </c>
      <c r="H292" s="236">
        <f t="shared" si="37"/>
        <v>10586000</v>
      </c>
      <c r="I292" s="244">
        <v>10586000</v>
      </c>
      <c r="J292" s="244">
        <v>11645000</v>
      </c>
    </row>
    <row r="293" spans="1:10" ht="19.899999999999999" customHeight="1">
      <c r="A293" s="234">
        <v>24</v>
      </c>
      <c r="B293" s="222" t="s">
        <v>1440</v>
      </c>
      <c r="C293" s="235">
        <v>10693980</v>
      </c>
      <c r="D293" s="236">
        <f t="shared" si="33"/>
        <v>10694000</v>
      </c>
      <c r="E293" s="236">
        <f t="shared" si="34"/>
        <v>11764000</v>
      </c>
      <c r="F293" s="236">
        <f t="shared" si="35"/>
        <v>13999000</v>
      </c>
      <c r="G293" s="236">
        <f t="shared" si="36"/>
        <v>15399000</v>
      </c>
      <c r="H293" s="236">
        <f t="shared" si="37"/>
        <v>16939000</v>
      </c>
      <c r="I293" s="244">
        <v>10586000</v>
      </c>
      <c r="J293" s="244">
        <v>11645000</v>
      </c>
    </row>
    <row r="294" spans="1:10" ht="19.899999999999999" customHeight="1">
      <c r="A294" s="234">
        <v>25</v>
      </c>
      <c r="B294" s="222" t="s">
        <v>1441</v>
      </c>
      <c r="C294" s="235">
        <v>6683490.0000000009</v>
      </c>
      <c r="D294" s="236">
        <f t="shared" si="33"/>
        <v>6684000</v>
      </c>
      <c r="E294" s="236">
        <f t="shared" si="34"/>
        <v>7352000</v>
      </c>
      <c r="F294" s="236">
        <f t="shared" si="35"/>
        <v>8749000</v>
      </c>
      <c r="G294" s="236">
        <f t="shared" si="36"/>
        <v>9624000</v>
      </c>
      <c r="H294" s="236">
        <f t="shared" si="37"/>
        <v>10586000</v>
      </c>
      <c r="I294" s="244">
        <v>10586000</v>
      </c>
      <c r="J294" s="244">
        <v>11645000</v>
      </c>
    </row>
    <row r="295" spans="1:10" ht="19.899999999999999" customHeight="1">
      <c r="A295" s="234">
        <v>26</v>
      </c>
      <c r="B295" s="222" t="s">
        <v>1442</v>
      </c>
      <c r="C295" s="235">
        <v>6683490.0000000009</v>
      </c>
      <c r="D295" s="236">
        <f t="shared" si="33"/>
        <v>6684000</v>
      </c>
      <c r="E295" s="236">
        <f t="shared" si="34"/>
        <v>7352000</v>
      </c>
      <c r="F295" s="236">
        <f t="shared" si="35"/>
        <v>8749000</v>
      </c>
      <c r="G295" s="236">
        <f t="shared" si="36"/>
        <v>9624000</v>
      </c>
      <c r="H295" s="236">
        <f t="shared" si="37"/>
        <v>10586000</v>
      </c>
      <c r="I295" s="244">
        <v>10586000</v>
      </c>
      <c r="J295" s="244">
        <v>11645000</v>
      </c>
    </row>
    <row r="296" spans="1:10" ht="19.899999999999999" customHeight="1">
      <c r="A296" s="234">
        <v>27</v>
      </c>
      <c r="B296" s="222" t="s">
        <v>1443</v>
      </c>
      <c r="C296" s="235">
        <v>6683490.0000000009</v>
      </c>
      <c r="D296" s="236">
        <f t="shared" si="33"/>
        <v>6684000</v>
      </c>
      <c r="E296" s="236">
        <f t="shared" si="34"/>
        <v>7352000</v>
      </c>
      <c r="F296" s="236">
        <f t="shared" si="35"/>
        <v>8749000</v>
      </c>
      <c r="G296" s="236">
        <f t="shared" si="36"/>
        <v>9624000</v>
      </c>
      <c r="H296" s="236">
        <f t="shared" si="37"/>
        <v>10586000</v>
      </c>
      <c r="I296" s="244">
        <v>10586000</v>
      </c>
      <c r="J296" s="244">
        <v>11645000</v>
      </c>
    </row>
    <row r="297" spans="1:10" ht="19.899999999999999" customHeight="1">
      <c r="A297" s="234">
        <v>28</v>
      </c>
      <c r="B297" s="222" t="s">
        <v>1444</v>
      </c>
      <c r="C297" s="235">
        <v>6683490.0000000009</v>
      </c>
      <c r="D297" s="236">
        <f t="shared" si="33"/>
        <v>6684000</v>
      </c>
      <c r="E297" s="236">
        <f t="shared" si="34"/>
        <v>7352000</v>
      </c>
      <c r="F297" s="236">
        <f t="shared" si="35"/>
        <v>8749000</v>
      </c>
      <c r="G297" s="236">
        <f t="shared" si="36"/>
        <v>9624000</v>
      </c>
      <c r="H297" s="236">
        <f t="shared" si="37"/>
        <v>10586000</v>
      </c>
      <c r="I297" s="244">
        <v>10586000</v>
      </c>
      <c r="J297" s="244">
        <v>11645000</v>
      </c>
    </row>
    <row r="298" spans="1:10" ht="19.899999999999999" customHeight="1">
      <c r="A298" s="234">
        <v>29</v>
      </c>
      <c r="B298" s="222" t="s">
        <v>1130</v>
      </c>
      <c r="C298" s="235">
        <v>6683490.0000000009</v>
      </c>
      <c r="D298" s="236">
        <f t="shared" si="33"/>
        <v>6684000</v>
      </c>
      <c r="E298" s="236">
        <f t="shared" si="34"/>
        <v>7352000</v>
      </c>
      <c r="F298" s="236">
        <f t="shared" si="35"/>
        <v>8749000</v>
      </c>
      <c r="G298" s="236">
        <f t="shared" si="36"/>
        <v>9624000</v>
      </c>
      <c r="H298" s="236">
        <f t="shared" si="37"/>
        <v>10586000</v>
      </c>
      <c r="I298" s="244">
        <v>10121000</v>
      </c>
      <c r="J298" s="244">
        <v>11133000</v>
      </c>
    </row>
    <row r="299" spans="1:10" ht="19.899999999999999" customHeight="1">
      <c r="A299" s="234">
        <v>30</v>
      </c>
      <c r="B299" s="222" t="s">
        <v>1445</v>
      </c>
      <c r="C299" s="235">
        <v>10693980</v>
      </c>
      <c r="D299" s="236">
        <f t="shared" si="33"/>
        <v>10694000</v>
      </c>
      <c r="E299" s="236">
        <f t="shared" si="34"/>
        <v>11764000</v>
      </c>
      <c r="F299" s="236">
        <f t="shared" si="35"/>
        <v>13999000</v>
      </c>
      <c r="G299" s="236">
        <f t="shared" si="36"/>
        <v>15399000</v>
      </c>
      <c r="H299" s="236">
        <f t="shared" si="37"/>
        <v>16939000</v>
      </c>
      <c r="I299" s="244">
        <v>10121000</v>
      </c>
      <c r="J299" s="244">
        <v>11133000</v>
      </c>
    </row>
    <row r="300" spans="1:10" ht="19.899999999999999" customHeight="1">
      <c r="A300" s="234">
        <v>31</v>
      </c>
      <c r="B300" s="222" t="s">
        <v>1446</v>
      </c>
      <c r="C300" s="235">
        <v>6683490.0000000009</v>
      </c>
      <c r="D300" s="236">
        <f t="shared" si="33"/>
        <v>6684000</v>
      </c>
      <c r="E300" s="236">
        <f t="shared" si="34"/>
        <v>7352000</v>
      </c>
      <c r="F300" s="236">
        <f t="shared" si="35"/>
        <v>8749000</v>
      </c>
      <c r="G300" s="236">
        <f t="shared" si="36"/>
        <v>9624000</v>
      </c>
      <c r="H300" s="236">
        <f t="shared" si="37"/>
        <v>10586000</v>
      </c>
      <c r="I300" s="244">
        <v>10121000</v>
      </c>
      <c r="J300" s="244">
        <v>11133000</v>
      </c>
    </row>
    <row r="301" spans="1:10" ht="19.899999999999999" customHeight="1">
      <c r="A301" s="234">
        <v>32</v>
      </c>
      <c r="B301" s="222" t="s">
        <v>1447</v>
      </c>
      <c r="C301" s="235">
        <v>6683490.0000000009</v>
      </c>
      <c r="D301" s="236">
        <f t="shared" si="33"/>
        <v>6684000</v>
      </c>
      <c r="E301" s="236">
        <f t="shared" si="34"/>
        <v>7352000</v>
      </c>
      <c r="F301" s="236">
        <f t="shared" si="35"/>
        <v>8749000</v>
      </c>
      <c r="G301" s="236">
        <f t="shared" si="36"/>
        <v>9624000</v>
      </c>
      <c r="H301" s="236">
        <f t="shared" si="37"/>
        <v>10586000</v>
      </c>
      <c r="I301" s="244">
        <v>10881000</v>
      </c>
      <c r="J301" s="244">
        <v>11969000</v>
      </c>
    </row>
    <row r="302" spans="1:10" ht="19.899999999999999" customHeight="1">
      <c r="A302" s="234">
        <v>33</v>
      </c>
      <c r="B302" s="222" t="s">
        <v>1448</v>
      </c>
      <c r="C302" s="235">
        <v>8334810.0000000009</v>
      </c>
      <c r="D302" s="236">
        <f t="shared" ref="D302:D333" si="38">ROUNDUP(C302,-3)</f>
        <v>8335000</v>
      </c>
      <c r="E302" s="236">
        <f t="shared" ref="E302:E333" si="39">ROUNDUP($C302*1.1,-3)</f>
        <v>9169000</v>
      </c>
      <c r="F302" s="236">
        <f t="shared" ref="F302:F333" si="40">ROUNDUP($C302*1.1*1.19,-3)</f>
        <v>10911000</v>
      </c>
      <c r="G302" s="236">
        <f t="shared" ref="G302:G333" si="41">ROUNDUP($C302*1.1*1.19*1.1,-3)</f>
        <v>12002000</v>
      </c>
      <c r="H302" s="236">
        <f t="shared" ref="H302:H333" si="42">ROUNDUP($C302*1.1*1.19*1.1*1.1,-3)</f>
        <v>13202000</v>
      </c>
      <c r="I302" s="244">
        <v>10586000</v>
      </c>
      <c r="J302" s="244">
        <v>11645000</v>
      </c>
    </row>
    <row r="303" spans="1:10" ht="19.899999999999999" customHeight="1">
      <c r="A303" s="234">
        <v>34</v>
      </c>
      <c r="B303" s="222" t="s">
        <v>1449</v>
      </c>
      <c r="C303" s="235">
        <v>8334810.0000000009</v>
      </c>
      <c r="D303" s="236">
        <f t="shared" si="38"/>
        <v>8335000</v>
      </c>
      <c r="E303" s="236">
        <f t="shared" si="39"/>
        <v>9169000</v>
      </c>
      <c r="F303" s="236">
        <f t="shared" si="40"/>
        <v>10911000</v>
      </c>
      <c r="G303" s="236">
        <f t="shared" si="41"/>
        <v>12002000</v>
      </c>
      <c r="H303" s="236">
        <f t="shared" si="42"/>
        <v>13202000</v>
      </c>
      <c r="I303" s="244">
        <v>10881000</v>
      </c>
      <c r="J303" s="244">
        <v>11969000</v>
      </c>
    </row>
    <row r="304" spans="1:10" ht="19.899999999999999" customHeight="1">
      <c r="A304" s="234">
        <v>35</v>
      </c>
      <c r="B304" s="222" t="s">
        <v>1450</v>
      </c>
      <c r="C304" s="235">
        <v>8334810.0000000009</v>
      </c>
      <c r="D304" s="236">
        <f t="shared" si="38"/>
        <v>8335000</v>
      </c>
      <c r="E304" s="236">
        <f t="shared" si="39"/>
        <v>9169000</v>
      </c>
      <c r="F304" s="236">
        <f t="shared" si="40"/>
        <v>10911000</v>
      </c>
      <c r="G304" s="236">
        <f t="shared" si="41"/>
        <v>12002000</v>
      </c>
      <c r="H304" s="236">
        <f t="shared" si="42"/>
        <v>13202000</v>
      </c>
      <c r="I304" s="244">
        <v>10881000</v>
      </c>
      <c r="J304" s="244">
        <v>11969000</v>
      </c>
    </row>
    <row r="305" spans="1:10" ht="19.899999999999999" customHeight="1">
      <c r="A305" s="234">
        <v>36</v>
      </c>
      <c r="B305" s="222" t="s">
        <v>1451</v>
      </c>
      <c r="C305" s="235">
        <v>8334810.0000000009</v>
      </c>
      <c r="D305" s="236">
        <f t="shared" si="38"/>
        <v>8335000</v>
      </c>
      <c r="E305" s="236">
        <f t="shared" si="39"/>
        <v>9169000</v>
      </c>
      <c r="F305" s="236">
        <f t="shared" si="40"/>
        <v>10911000</v>
      </c>
      <c r="G305" s="236">
        <f t="shared" si="41"/>
        <v>12002000</v>
      </c>
      <c r="H305" s="236">
        <f t="shared" si="42"/>
        <v>13202000</v>
      </c>
      <c r="I305" s="244">
        <v>10881000</v>
      </c>
      <c r="J305" s="244">
        <v>11969000</v>
      </c>
    </row>
    <row r="306" spans="1:10" ht="19.899999999999999" customHeight="1">
      <c r="A306" s="234">
        <v>37</v>
      </c>
      <c r="B306" s="222" t="s">
        <v>1452</v>
      </c>
      <c r="C306" s="235">
        <v>8334810.0000000009</v>
      </c>
      <c r="D306" s="236">
        <f t="shared" si="38"/>
        <v>8335000</v>
      </c>
      <c r="E306" s="236">
        <f t="shared" si="39"/>
        <v>9169000</v>
      </c>
      <c r="F306" s="236">
        <f t="shared" si="40"/>
        <v>10911000</v>
      </c>
      <c r="G306" s="236">
        <f t="shared" si="41"/>
        <v>12002000</v>
      </c>
      <c r="H306" s="236">
        <f t="shared" si="42"/>
        <v>13202000</v>
      </c>
      <c r="I306" s="244">
        <v>10881000</v>
      </c>
      <c r="J306" s="244">
        <v>11969000</v>
      </c>
    </row>
    <row r="307" spans="1:10" ht="19.899999999999999" customHeight="1">
      <c r="A307" s="234">
        <v>38</v>
      </c>
      <c r="B307" s="222" t="s">
        <v>1453</v>
      </c>
      <c r="C307" s="235">
        <v>8334810.0000000009</v>
      </c>
      <c r="D307" s="236">
        <f t="shared" si="38"/>
        <v>8335000</v>
      </c>
      <c r="E307" s="236">
        <f t="shared" si="39"/>
        <v>9169000</v>
      </c>
      <c r="F307" s="236">
        <f t="shared" si="40"/>
        <v>10911000</v>
      </c>
      <c r="G307" s="236">
        <f t="shared" si="41"/>
        <v>12002000</v>
      </c>
      <c r="H307" s="236">
        <f t="shared" si="42"/>
        <v>13202000</v>
      </c>
      <c r="I307" s="244">
        <v>10121000</v>
      </c>
      <c r="J307" s="244">
        <v>11133000</v>
      </c>
    </row>
    <row r="308" spans="1:10" ht="19.899999999999999" customHeight="1">
      <c r="A308" s="234">
        <v>39</v>
      </c>
      <c r="B308" s="222" t="s">
        <v>1454</v>
      </c>
      <c r="C308" s="235">
        <v>8334810.0000000009</v>
      </c>
      <c r="D308" s="236">
        <f t="shared" si="38"/>
        <v>8335000</v>
      </c>
      <c r="E308" s="236">
        <f t="shared" si="39"/>
        <v>9169000</v>
      </c>
      <c r="F308" s="236">
        <f t="shared" si="40"/>
        <v>10911000</v>
      </c>
      <c r="G308" s="236">
        <f t="shared" si="41"/>
        <v>12002000</v>
      </c>
      <c r="H308" s="236">
        <f t="shared" si="42"/>
        <v>13202000</v>
      </c>
      <c r="I308" s="244">
        <v>10586000</v>
      </c>
      <c r="J308" s="244">
        <v>11645000</v>
      </c>
    </row>
    <row r="309" spans="1:10" ht="19.899999999999999" customHeight="1">
      <c r="A309" s="234">
        <v>40</v>
      </c>
      <c r="B309" s="222" t="s">
        <v>1455</v>
      </c>
      <c r="C309" s="235">
        <v>8334810.0000000009</v>
      </c>
      <c r="D309" s="236">
        <f t="shared" si="38"/>
        <v>8335000</v>
      </c>
      <c r="E309" s="236">
        <f t="shared" si="39"/>
        <v>9169000</v>
      </c>
      <c r="F309" s="236">
        <f t="shared" si="40"/>
        <v>10911000</v>
      </c>
      <c r="G309" s="236">
        <f t="shared" si="41"/>
        <v>12002000</v>
      </c>
      <c r="H309" s="236">
        <f t="shared" si="42"/>
        <v>13202000</v>
      </c>
      <c r="I309" s="244">
        <v>10586000</v>
      </c>
      <c r="J309" s="244">
        <v>11645000</v>
      </c>
    </row>
    <row r="310" spans="1:10" ht="19.899999999999999" customHeight="1">
      <c r="A310" s="234">
        <v>41</v>
      </c>
      <c r="B310" s="222" t="s">
        <v>1456</v>
      </c>
      <c r="C310" s="235">
        <v>6192450.0000000009</v>
      </c>
      <c r="D310" s="236">
        <f t="shared" si="38"/>
        <v>6193000</v>
      </c>
      <c r="E310" s="236">
        <f t="shared" si="39"/>
        <v>6812000</v>
      </c>
      <c r="F310" s="236">
        <f t="shared" si="40"/>
        <v>8106000</v>
      </c>
      <c r="G310" s="236">
        <f t="shared" si="41"/>
        <v>8917000</v>
      </c>
      <c r="H310" s="236">
        <f t="shared" si="42"/>
        <v>9809000</v>
      </c>
      <c r="I310" s="244">
        <v>10881000</v>
      </c>
      <c r="J310" s="244">
        <v>11969000</v>
      </c>
    </row>
    <row r="311" spans="1:10" ht="19.899999999999999" customHeight="1">
      <c r="A311" s="234">
        <v>42</v>
      </c>
      <c r="B311" s="222" t="s">
        <v>1376</v>
      </c>
      <c r="C311" s="235">
        <v>8334810.0000000009</v>
      </c>
      <c r="D311" s="236">
        <f t="shared" si="38"/>
        <v>8335000</v>
      </c>
      <c r="E311" s="236">
        <f t="shared" si="39"/>
        <v>9169000</v>
      </c>
      <c r="F311" s="236">
        <f t="shared" si="40"/>
        <v>10911000</v>
      </c>
      <c r="G311" s="236">
        <f t="shared" si="41"/>
        <v>12002000</v>
      </c>
      <c r="H311" s="236">
        <f t="shared" si="42"/>
        <v>13202000</v>
      </c>
      <c r="I311" s="244">
        <v>10586000</v>
      </c>
      <c r="J311" s="244">
        <v>11645000</v>
      </c>
    </row>
    <row r="312" spans="1:10" ht="19.899999999999999" customHeight="1">
      <c r="A312" s="234">
        <v>43</v>
      </c>
      <c r="B312" s="222" t="s">
        <v>1457</v>
      </c>
      <c r="C312" s="235">
        <v>10693980</v>
      </c>
      <c r="D312" s="236">
        <f t="shared" si="38"/>
        <v>10694000</v>
      </c>
      <c r="E312" s="236">
        <f t="shared" si="39"/>
        <v>11764000</v>
      </c>
      <c r="F312" s="236">
        <f t="shared" si="40"/>
        <v>13999000</v>
      </c>
      <c r="G312" s="236">
        <f t="shared" si="41"/>
        <v>15399000</v>
      </c>
      <c r="H312" s="236">
        <f t="shared" si="42"/>
        <v>16939000</v>
      </c>
      <c r="I312" s="244">
        <v>10586000</v>
      </c>
      <c r="J312" s="244">
        <v>11645000</v>
      </c>
    </row>
    <row r="313" spans="1:10" ht="19.899999999999999" customHeight="1">
      <c r="A313" s="234">
        <v>44</v>
      </c>
      <c r="B313" s="222" t="s">
        <v>1458</v>
      </c>
      <c r="C313" s="235">
        <v>6683490.0000000009</v>
      </c>
      <c r="D313" s="236">
        <f t="shared" si="38"/>
        <v>6684000</v>
      </c>
      <c r="E313" s="236">
        <f t="shared" si="39"/>
        <v>7352000</v>
      </c>
      <c r="F313" s="236">
        <f t="shared" si="40"/>
        <v>8749000</v>
      </c>
      <c r="G313" s="236">
        <f t="shared" si="41"/>
        <v>9624000</v>
      </c>
      <c r="H313" s="236">
        <f t="shared" si="42"/>
        <v>10586000</v>
      </c>
      <c r="I313" s="244">
        <v>10586000</v>
      </c>
      <c r="J313" s="244">
        <v>11645000</v>
      </c>
    </row>
    <row r="314" spans="1:10" ht="19.899999999999999" customHeight="1">
      <c r="A314" s="234">
        <v>45</v>
      </c>
      <c r="B314" s="222" t="s">
        <v>1459</v>
      </c>
      <c r="C314" s="235">
        <v>6683490.0000000009</v>
      </c>
      <c r="D314" s="236">
        <f t="shared" si="38"/>
        <v>6684000</v>
      </c>
      <c r="E314" s="236">
        <f t="shared" si="39"/>
        <v>7352000</v>
      </c>
      <c r="F314" s="236">
        <f t="shared" si="40"/>
        <v>8749000</v>
      </c>
      <c r="G314" s="236">
        <f t="shared" si="41"/>
        <v>9624000</v>
      </c>
      <c r="H314" s="236">
        <f t="shared" si="42"/>
        <v>10586000</v>
      </c>
      <c r="I314" s="244">
        <v>10586000</v>
      </c>
      <c r="J314" s="244">
        <v>11645000</v>
      </c>
    </row>
    <row r="315" spans="1:10" ht="19.899999999999999" customHeight="1">
      <c r="A315" s="234">
        <v>46</v>
      </c>
      <c r="B315" s="222" t="s">
        <v>1460</v>
      </c>
      <c r="C315" s="235">
        <v>6192450.0000000009</v>
      </c>
      <c r="D315" s="236">
        <f t="shared" si="38"/>
        <v>6193000</v>
      </c>
      <c r="E315" s="236">
        <f t="shared" si="39"/>
        <v>6812000</v>
      </c>
      <c r="F315" s="236">
        <f t="shared" si="40"/>
        <v>8106000</v>
      </c>
      <c r="G315" s="236">
        <f t="shared" si="41"/>
        <v>8917000</v>
      </c>
      <c r="H315" s="236">
        <f t="shared" si="42"/>
        <v>9809000</v>
      </c>
      <c r="I315" s="244">
        <v>16939000</v>
      </c>
      <c r="J315" s="244">
        <v>18632000</v>
      </c>
    </row>
    <row r="316" spans="1:10" ht="19.899999999999999" customHeight="1">
      <c r="A316" s="234">
        <v>47</v>
      </c>
      <c r="B316" s="222" t="s">
        <v>1461</v>
      </c>
      <c r="C316" s="235">
        <v>6683490.0000000009</v>
      </c>
      <c r="D316" s="236">
        <f t="shared" si="38"/>
        <v>6684000</v>
      </c>
      <c r="E316" s="236">
        <f t="shared" si="39"/>
        <v>7352000</v>
      </c>
      <c r="F316" s="236">
        <f t="shared" si="40"/>
        <v>8749000</v>
      </c>
      <c r="G316" s="236">
        <f t="shared" si="41"/>
        <v>9624000</v>
      </c>
      <c r="H316" s="236">
        <f t="shared" si="42"/>
        <v>10586000</v>
      </c>
      <c r="I316" s="244"/>
      <c r="J316" s="244"/>
    </row>
    <row r="317" spans="1:10" ht="19.899999999999999" customHeight="1">
      <c r="A317" s="234">
        <v>48</v>
      </c>
      <c r="B317" s="222" t="s">
        <v>1462</v>
      </c>
      <c r="C317" s="235">
        <v>10693980</v>
      </c>
      <c r="D317" s="236">
        <f t="shared" si="38"/>
        <v>10694000</v>
      </c>
      <c r="E317" s="236">
        <f t="shared" si="39"/>
        <v>11764000</v>
      </c>
      <c r="F317" s="236">
        <f t="shared" si="40"/>
        <v>13999000</v>
      </c>
      <c r="G317" s="236">
        <f t="shared" si="41"/>
        <v>15399000</v>
      </c>
      <c r="H317" s="236">
        <f t="shared" si="42"/>
        <v>16939000</v>
      </c>
      <c r="I317" s="244">
        <v>10586000</v>
      </c>
      <c r="J317" s="244">
        <v>11645000</v>
      </c>
    </row>
    <row r="318" spans="1:10" ht="19.899999999999999" customHeight="1">
      <c r="A318" s="234">
        <v>49</v>
      </c>
      <c r="B318" s="222" t="s">
        <v>1463</v>
      </c>
      <c r="C318" s="235">
        <v>6683490.0000000009</v>
      </c>
      <c r="D318" s="236">
        <f t="shared" si="38"/>
        <v>6684000</v>
      </c>
      <c r="E318" s="236">
        <f t="shared" si="39"/>
        <v>7352000</v>
      </c>
      <c r="F318" s="236">
        <f t="shared" si="40"/>
        <v>8749000</v>
      </c>
      <c r="G318" s="236">
        <f t="shared" si="41"/>
        <v>9624000</v>
      </c>
      <c r="H318" s="236">
        <f t="shared" si="42"/>
        <v>10586000</v>
      </c>
      <c r="I318" s="244">
        <v>10586000</v>
      </c>
      <c r="J318" s="244">
        <v>11645000</v>
      </c>
    </row>
    <row r="319" spans="1:10" ht="19.899999999999999" customHeight="1">
      <c r="A319" s="234">
        <v>50</v>
      </c>
      <c r="B319" s="222" t="s">
        <v>1464</v>
      </c>
      <c r="C319" s="235">
        <v>6683490.0000000009</v>
      </c>
      <c r="D319" s="236">
        <f t="shared" si="38"/>
        <v>6684000</v>
      </c>
      <c r="E319" s="236">
        <f t="shared" si="39"/>
        <v>7352000</v>
      </c>
      <c r="F319" s="236">
        <f t="shared" si="40"/>
        <v>8749000</v>
      </c>
      <c r="G319" s="236">
        <f t="shared" si="41"/>
        <v>9624000</v>
      </c>
      <c r="H319" s="236">
        <f t="shared" si="42"/>
        <v>10586000</v>
      </c>
      <c r="I319" s="244">
        <v>16939000</v>
      </c>
      <c r="J319" s="244">
        <v>18632000</v>
      </c>
    </row>
    <row r="320" spans="1:10" ht="19.899999999999999" customHeight="1">
      <c r="A320" s="234">
        <v>51</v>
      </c>
      <c r="B320" s="222" t="s">
        <v>1465</v>
      </c>
      <c r="C320" s="235">
        <v>6192450.0000000009</v>
      </c>
      <c r="D320" s="236">
        <f t="shared" si="38"/>
        <v>6193000</v>
      </c>
      <c r="E320" s="236">
        <f t="shared" si="39"/>
        <v>6812000</v>
      </c>
      <c r="F320" s="236">
        <f t="shared" si="40"/>
        <v>8106000</v>
      </c>
      <c r="G320" s="236">
        <f t="shared" si="41"/>
        <v>8917000</v>
      </c>
      <c r="H320" s="236">
        <f t="shared" si="42"/>
        <v>9809000</v>
      </c>
      <c r="I320" s="244">
        <v>10586000</v>
      </c>
      <c r="J320" s="244">
        <v>11645000</v>
      </c>
    </row>
    <row r="321" spans="1:10" ht="19.899999999999999" customHeight="1">
      <c r="A321" s="234">
        <v>52</v>
      </c>
      <c r="B321" s="222" t="s">
        <v>1132</v>
      </c>
      <c r="C321" s="235">
        <v>7260000.0000000009</v>
      </c>
      <c r="D321" s="236">
        <f t="shared" si="38"/>
        <v>7260000</v>
      </c>
      <c r="E321" s="236">
        <f t="shared" si="39"/>
        <v>7986000</v>
      </c>
      <c r="F321" s="236">
        <f t="shared" si="40"/>
        <v>9504000</v>
      </c>
      <c r="G321" s="236">
        <f t="shared" si="41"/>
        <v>10454000</v>
      </c>
      <c r="H321" s="236">
        <f t="shared" si="42"/>
        <v>11500000</v>
      </c>
      <c r="I321" s="244">
        <v>10586000</v>
      </c>
      <c r="J321" s="244">
        <v>11645000</v>
      </c>
    </row>
    <row r="322" spans="1:10" ht="19.899999999999999" customHeight="1">
      <c r="A322" s="234">
        <v>53</v>
      </c>
      <c r="B322" s="222" t="s">
        <v>1466</v>
      </c>
      <c r="C322" s="235">
        <v>6683490.0000000009</v>
      </c>
      <c r="D322" s="236">
        <f t="shared" si="38"/>
        <v>6684000</v>
      </c>
      <c r="E322" s="236">
        <f t="shared" si="39"/>
        <v>7352000</v>
      </c>
      <c r="F322" s="236">
        <f t="shared" si="40"/>
        <v>8749000</v>
      </c>
      <c r="G322" s="236">
        <f t="shared" si="41"/>
        <v>9624000</v>
      </c>
      <c r="H322" s="236">
        <f t="shared" si="42"/>
        <v>10586000</v>
      </c>
      <c r="I322" s="244">
        <v>16939000</v>
      </c>
      <c r="J322" s="244">
        <v>18632000</v>
      </c>
    </row>
    <row r="323" spans="1:10" ht="19.899999999999999" customHeight="1">
      <c r="A323" s="234">
        <v>54</v>
      </c>
      <c r="B323" s="222" t="s">
        <v>1388</v>
      </c>
      <c r="C323" s="235">
        <v>6683490.0000000009</v>
      </c>
      <c r="D323" s="236">
        <f t="shared" si="38"/>
        <v>6684000</v>
      </c>
      <c r="E323" s="236">
        <f t="shared" si="39"/>
        <v>7352000</v>
      </c>
      <c r="F323" s="236">
        <f t="shared" si="40"/>
        <v>8749000</v>
      </c>
      <c r="G323" s="236">
        <f t="shared" si="41"/>
        <v>9624000</v>
      </c>
      <c r="H323" s="236">
        <f t="shared" si="42"/>
        <v>10586000</v>
      </c>
      <c r="I323" s="244">
        <v>10586000</v>
      </c>
      <c r="J323" s="244">
        <v>11645000</v>
      </c>
    </row>
    <row r="324" spans="1:10" ht="19.899999999999999" customHeight="1">
      <c r="A324" s="234">
        <v>55</v>
      </c>
      <c r="B324" s="222" t="s">
        <v>1467</v>
      </c>
      <c r="C324" s="235">
        <v>6192450.0000000009</v>
      </c>
      <c r="D324" s="236">
        <f t="shared" si="38"/>
        <v>6193000</v>
      </c>
      <c r="E324" s="236">
        <f t="shared" si="39"/>
        <v>6812000</v>
      </c>
      <c r="F324" s="236">
        <f t="shared" si="40"/>
        <v>8106000</v>
      </c>
      <c r="G324" s="236">
        <f t="shared" si="41"/>
        <v>8917000</v>
      </c>
      <c r="H324" s="236">
        <f t="shared" si="42"/>
        <v>9809000</v>
      </c>
      <c r="I324" s="244">
        <v>10586000</v>
      </c>
      <c r="J324" s="244">
        <v>11645000</v>
      </c>
    </row>
    <row r="325" spans="1:10" ht="19.899999999999999" customHeight="1">
      <c r="A325" s="234">
        <v>56</v>
      </c>
      <c r="B325" s="222" t="s">
        <v>1468</v>
      </c>
      <c r="C325" s="235">
        <v>10693980</v>
      </c>
      <c r="D325" s="236">
        <f t="shared" si="38"/>
        <v>10694000</v>
      </c>
      <c r="E325" s="236">
        <f t="shared" si="39"/>
        <v>11764000</v>
      </c>
      <c r="F325" s="236">
        <f t="shared" si="40"/>
        <v>13999000</v>
      </c>
      <c r="G325" s="236">
        <f t="shared" si="41"/>
        <v>15399000</v>
      </c>
      <c r="H325" s="236">
        <f t="shared" si="42"/>
        <v>16939000</v>
      </c>
      <c r="I325" s="244">
        <v>16939000</v>
      </c>
      <c r="J325" s="244">
        <v>18632000</v>
      </c>
    </row>
    <row r="326" spans="1:10" ht="19.899999999999999" customHeight="1">
      <c r="A326" s="234">
        <v>57</v>
      </c>
      <c r="B326" s="222" t="s">
        <v>1469</v>
      </c>
      <c r="C326" s="235">
        <v>6683490.0000000009</v>
      </c>
      <c r="D326" s="236">
        <f t="shared" si="38"/>
        <v>6684000</v>
      </c>
      <c r="E326" s="236">
        <f t="shared" si="39"/>
        <v>7352000</v>
      </c>
      <c r="F326" s="236">
        <f t="shared" si="40"/>
        <v>8749000</v>
      </c>
      <c r="G326" s="236">
        <f t="shared" si="41"/>
        <v>9624000</v>
      </c>
      <c r="H326" s="236">
        <f t="shared" si="42"/>
        <v>10586000</v>
      </c>
      <c r="I326" s="244">
        <v>10586000</v>
      </c>
      <c r="J326" s="244">
        <v>11645000</v>
      </c>
    </row>
    <row r="327" spans="1:10" ht="19.899999999999999" customHeight="1">
      <c r="A327" s="234">
        <v>58</v>
      </c>
      <c r="B327" s="222" t="s">
        <v>1470</v>
      </c>
      <c r="C327" s="235">
        <v>6683490.0000000009</v>
      </c>
      <c r="D327" s="236">
        <f t="shared" si="38"/>
        <v>6684000</v>
      </c>
      <c r="E327" s="236">
        <f t="shared" si="39"/>
        <v>7352000</v>
      </c>
      <c r="F327" s="236">
        <f t="shared" si="40"/>
        <v>8749000</v>
      </c>
      <c r="G327" s="236">
        <f t="shared" si="41"/>
        <v>9624000</v>
      </c>
      <c r="H327" s="236">
        <f t="shared" si="42"/>
        <v>10586000</v>
      </c>
      <c r="I327" s="244">
        <v>10586000</v>
      </c>
      <c r="J327" s="244">
        <v>11645000</v>
      </c>
    </row>
    <row r="328" spans="1:10" ht="19.899999999999999" customHeight="1">
      <c r="A328" s="234">
        <v>59</v>
      </c>
      <c r="B328" s="222" t="s">
        <v>1471</v>
      </c>
      <c r="C328" s="235">
        <v>6683490.0000000009</v>
      </c>
      <c r="D328" s="236">
        <f t="shared" si="38"/>
        <v>6684000</v>
      </c>
      <c r="E328" s="236">
        <f t="shared" si="39"/>
        <v>7352000</v>
      </c>
      <c r="F328" s="236">
        <f t="shared" si="40"/>
        <v>8749000</v>
      </c>
      <c r="G328" s="236">
        <f t="shared" si="41"/>
        <v>9624000</v>
      </c>
      <c r="H328" s="236">
        <f t="shared" si="42"/>
        <v>10586000</v>
      </c>
      <c r="I328" s="244">
        <v>16939000</v>
      </c>
      <c r="J328" s="244">
        <v>18632000</v>
      </c>
    </row>
    <row r="329" spans="1:10" ht="19.899999999999999" customHeight="1">
      <c r="A329" s="234">
        <v>60</v>
      </c>
      <c r="B329" s="222" t="s">
        <v>1472</v>
      </c>
      <c r="C329" s="235">
        <v>6683490.0000000009</v>
      </c>
      <c r="D329" s="236">
        <f t="shared" si="38"/>
        <v>6684000</v>
      </c>
      <c r="E329" s="236">
        <f t="shared" si="39"/>
        <v>7352000</v>
      </c>
      <c r="F329" s="236">
        <f t="shared" si="40"/>
        <v>8749000</v>
      </c>
      <c r="G329" s="236">
        <f t="shared" si="41"/>
        <v>9624000</v>
      </c>
      <c r="H329" s="236">
        <f t="shared" si="42"/>
        <v>10586000</v>
      </c>
      <c r="I329" s="244">
        <v>10586000</v>
      </c>
      <c r="J329" s="244">
        <v>11645000</v>
      </c>
    </row>
    <row r="330" spans="1:10" ht="19.899999999999999" customHeight="1">
      <c r="A330" s="234">
        <v>61</v>
      </c>
      <c r="B330" s="222" t="s">
        <v>1473</v>
      </c>
      <c r="C330" s="235">
        <v>6683490.0000000009</v>
      </c>
      <c r="D330" s="236">
        <f t="shared" si="38"/>
        <v>6684000</v>
      </c>
      <c r="E330" s="236">
        <f t="shared" si="39"/>
        <v>7352000</v>
      </c>
      <c r="F330" s="236">
        <f t="shared" si="40"/>
        <v>8749000</v>
      </c>
      <c r="G330" s="236">
        <f t="shared" si="41"/>
        <v>9624000</v>
      </c>
      <c r="H330" s="236">
        <f t="shared" si="42"/>
        <v>10586000</v>
      </c>
      <c r="I330" s="244">
        <v>10586000</v>
      </c>
      <c r="J330" s="244">
        <v>11645000</v>
      </c>
    </row>
    <row r="331" spans="1:10" ht="19.899999999999999" customHeight="1">
      <c r="A331" s="234">
        <v>62</v>
      </c>
      <c r="B331" s="222" t="s">
        <v>1133</v>
      </c>
      <c r="C331" s="235">
        <v>7623000.0000000009</v>
      </c>
      <c r="D331" s="236">
        <f t="shared" si="38"/>
        <v>7623000</v>
      </c>
      <c r="E331" s="236">
        <f t="shared" si="39"/>
        <v>8386000</v>
      </c>
      <c r="F331" s="236">
        <f t="shared" si="40"/>
        <v>9979000</v>
      </c>
      <c r="G331" s="236">
        <f t="shared" si="41"/>
        <v>10977000</v>
      </c>
      <c r="H331" s="236">
        <f t="shared" si="42"/>
        <v>12074000</v>
      </c>
      <c r="I331" s="244">
        <v>16939000</v>
      </c>
      <c r="J331" s="244">
        <v>18632000</v>
      </c>
    </row>
    <row r="332" spans="1:10" ht="19.899999999999999" customHeight="1">
      <c r="A332" s="234">
        <v>63</v>
      </c>
      <c r="B332" s="222" t="s">
        <v>1474</v>
      </c>
      <c r="C332" s="235">
        <v>10693980</v>
      </c>
      <c r="D332" s="236">
        <f t="shared" si="38"/>
        <v>10694000</v>
      </c>
      <c r="E332" s="236">
        <f t="shared" si="39"/>
        <v>11764000</v>
      </c>
      <c r="F332" s="236">
        <f t="shared" si="40"/>
        <v>13999000</v>
      </c>
      <c r="G332" s="236">
        <f t="shared" si="41"/>
        <v>15399000</v>
      </c>
      <c r="H332" s="236">
        <f t="shared" si="42"/>
        <v>16939000</v>
      </c>
      <c r="I332" s="244">
        <v>10586000</v>
      </c>
      <c r="J332" s="244">
        <v>11645000</v>
      </c>
    </row>
    <row r="333" spans="1:10" ht="19.899999999999999" customHeight="1">
      <c r="A333" s="234">
        <v>64</v>
      </c>
      <c r="B333" s="222" t="s">
        <v>1475</v>
      </c>
      <c r="C333" s="235">
        <v>6683490.0000000009</v>
      </c>
      <c r="D333" s="236">
        <f t="shared" si="38"/>
        <v>6684000</v>
      </c>
      <c r="E333" s="236">
        <f t="shared" si="39"/>
        <v>7352000</v>
      </c>
      <c r="F333" s="236">
        <f t="shared" si="40"/>
        <v>8749000</v>
      </c>
      <c r="G333" s="236">
        <f t="shared" si="41"/>
        <v>9624000</v>
      </c>
      <c r="H333" s="236">
        <f t="shared" si="42"/>
        <v>10586000</v>
      </c>
      <c r="I333" s="244">
        <v>10586000</v>
      </c>
      <c r="J333" s="244">
        <v>11645000</v>
      </c>
    </row>
    <row r="334" spans="1:10" ht="19.899999999999999" customHeight="1">
      <c r="A334" s="234">
        <v>65</v>
      </c>
      <c r="B334" s="222" t="s">
        <v>1476</v>
      </c>
      <c r="C334" s="235">
        <v>6683490.0000000009</v>
      </c>
      <c r="D334" s="236">
        <f t="shared" ref="D334:D353" si="43">ROUNDUP(C334,-3)</f>
        <v>6684000</v>
      </c>
      <c r="E334" s="236">
        <f t="shared" ref="E334:E353" si="44">ROUNDUP($C334*1.1,-3)</f>
        <v>7352000</v>
      </c>
      <c r="F334" s="236">
        <f t="shared" ref="F334:F353" si="45">ROUNDUP($C334*1.1*1.19,-3)</f>
        <v>8749000</v>
      </c>
      <c r="G334" s="236">
        <f t="shared" ref="G334:G353" si="46">ROUNDUP($C334*1.1*1.19*1.1,-3)</f>
        <v>9624000</v>
      </c>
      <c r="H334" s="236">
        <f t="shared" ref="H334:H353" si="47">ROUNDUP($C334*1.1*1.19*1.1*1.1,-3)</f>
        <v>10586000</v>
      </c>
      <c r="I334" s="244">
        <v>10586000</v>
      </c>
      <c r="J334" s="244">
        <v>11645000</v>
      </c>
    </row>
    <row r="335" spans="1:10" ht="19.899999999999999" customHeight="1">
      <c r="A335" s="234">
        <v>66</v>
      </c>
      <c r="B335" s="222" t="s">
        <v>1477</v>
      </c>
      <c r="C335" s="235">
        <v>6192450.0000000009</v>
      </c>
      <c r="D335" s="236">
        <f t="shared" si="43"/>
        <v>6193000</v>
      </c>
      <c r="E335" s="236">
        <f t="shared" si="44"/>
        <v>6812000</v>
      </c>
      <c r="F335" s="236">
        <f t="shared" si="45"/>
        <v>8106000</v>
      </c>
      <c r="G335" s="236">
        <f t="shared" si="46"/>
        <v>8917000</v>
      </c>
      <c r="H335" s="236">
        <f t="shared" si="47"/>
        <v>9809000</v>
      </c>
      <c r="I335" s="244">
        <v>10586000</v>
      </c>
      <c r="J335" s="244">
        <v>11645000</v>
      </c>
    </row>
    <row r="336" spans="1:10" ht="19.899999999999999" customHeight="1">
      <c r="A336" s="234">
        <v>67</v>
      </c>
      <c r="B336" s="222" t="s">
        <v>1478</v>
      </c>
      <c r="C336" s="235">
        <v>6192450.0000000009</v>
      </c>
      <c r="D336" s="236">
        <f t="shared" si="43"/>
        <v>6193000</v>
      </c>
      <c r="E336" s="236">
        <f t="shared" si="44"/>
        <v>6812000</v>
      </c>
      <c r="F336" s="236">
        <f t="shared" si="45"/>
        <v>8106000</v>
      </c>
      <c r="G336" s="236">
        <f t="shared" si="46"/>
        <v>8917000</v>
      </c>
      <c r="H336" s="236">
        <f t="shared" si="47"/>
        <v>9809000</v>
      </c>
      <c r="I336" s="244">
        <v>10586000</v>
      </c>
      <c r="J336" s="244">
        <v>11645000</v>
      </c>
    </row>
    <row r="337" spans="1:10" ht="19.899999999999999" customHeight="1">
      <c r="A337" s="234">
        <v>68</v>
      </c>
      <c r="B337" s="222" t="s">
        <v>1479</v>
      </c>
      <c r="C337" s="235">
        <v>6683490.0000000009</v>
      </c>
      <c r="D337" s="236">
        <f t="shared" si="43"/>
        <v>6684000</v>
      </c>
      <c r="E337" s="236">
        <f t="shared" si="44"/>
        <v>7352000</v>
      </c>
      <c r="F337" s="236">
        <f t="shared" si="45"/>
        <v>8749000</v>
      </c>
      <c r="G337" s="236">
        <f t="shared" si="46"/>
        <v>9624000</v>
      </c>
      <c r="H337" s="236">
        <f t="shared" si="47"/>
        <v>10586000</v>
      </c>
      <c r="I337" s="244">
        <v>16939000</v>
      </c>
      <c r="J337" s="244">
        <v>18632000</v>
      </c>
    </row>
    <row r="338" spans="1:10" ht="19.899999999999999" customHeight="1">
      <c r="A338" s="234">
        <v>69</v>
      </c>
      <c r="B338" s="222" t="s">
        <v>1480</v>
      </c>
      <c r="C338" s="235">
        <v>6683490.0000000009</v>
      </c>
      <c r="D338" s="236">
        <f t="shared" si="43"/>
        <v>6684000</v>
      </c>
      <c r="E338" s="236">
        <f t="shared" si="44"/>
        <v>7352000</v>
      </c>
      <c r="F338" s="236">
        <f t="shared" si="45"/>
        <v>8749000</v>
      </c>
      <c r="G338" s="236">
        <f t="shared" si="46"/>
        <v>9624000</v>
      </c>
      <c r="H338" s="236">
        <f t="shared" si="47"/>
        <v>10586000</v>
      </c>
      <c r="I338" s="244">
        <v>10586000</v>
      </c>
      <c r="J338" s="244">
        <v>11645000</v>
      </c>
    </row>
    <row r="339" spans="1:10" ht="19.899999999999999" customHeight="1">
      <c r="A339" s="234">
        <v>70</v>
      </c>
      <c r="B339" s="222" t="s">
        <v>1481</v>
      </c>
      <c r="C339" s="235">
        <v>6683490.0000000009</v>
      </c>
      <c r="D339" s="236">
        <f t="shared" si="43"/>
        <v>6684000</v>
      </c>
      <c r="E339" s="236">
        <f t="shared" si="44"/>
        <v>7352000</v>
      </c>
      <c r="F339" s="236">
        <f t="shared" si="45"/>
        <v>8749000</v>
      </c>
      <c r="G339" s="236">
        <f t="shared" si="46"/>
        <v>9624000</v>
      </c>
      <c r="H339" s="236">
        <f t="shared" si="47"/>
        <v>10586000</v>
      </c>
      <c r="I339" s="244">
        <v>10586000</v>
      </c>
      <c r="J339" s="244">
        <v>11645000</v>
      </c>
    </row>
    <row r="340" spans="1:10" ht="19.899999999999999" customHeight="1">
      <c r="A340" s="234">
        <v>71</v>
      </c>
      <c r="B340" s="222" t="s">
        <v>1482</v>
      </c>
      <c r="C340" s="235">
        <v>6683490.0000000009</v>
      </c>
      <c r="D340" s="236">
        <f t="shared" si="43"/>
        <v>6684000</v>
      </c>
      <c r="E340" s="236">
        <f t="shared" si="44"/>
        <v>7352000</v>
      </c>
      <c r="F340" s="236">
        <f t="shared" si="45"/>
        <v>8749000</v>
      </c>
      <c r="G340" s="236">
        <f t="shared" si="46"/>
        <v>9624000</v>
      </c>
      <c r="H340" s="236">
        <f t="shared" si="47"/>
        <v>10586000</v>
      </c>
      <c r="I340" s="244">
        <v>16939000</v>
      </c>
      <c r="J340" s="244">
        <v>18632000</v>
      </c>
    </row>
    <row r="341" spans="1:10" ht="19.899999999999999" customHeight="1">
      <c r="A341" s="234">
        <v>72</v>
      </c>
      <c r="B341" s="222" t="s">
        <v>1483</v>
      </c>
      <c r="C341" s="235">
        <v>6683490.0000000009</v>
      </c>
      <c r="D341" s="236">
        <f t="shared" si="43"/>
        <v>6684000</v>
      </c>
      <c r="E341" s="236">
        <f t="shared" si="44"/>
        <v>7352000</v>
      </c>
      <c r="F341" s="236">
        <f t="shared" si="45"/>
        <v>8749000</v>
      </c>
      <c r="G341" s="236">
        <f t="shared" si="46"/>
        <v>9624000</v>
      </c>
      <c r="H341" s="236">
        <f t="shared" si="47"/>
        <v>10586000</v>
      </c>
      <c r="I341" s="244">
        <v>10586000</v>
      </c>
      <c r="J341" s="244">
        <v>11645000</v>
      </c>
    </row>
    <row r="342" spans="1:10" ht="19.899999999999999" customHeight="1">
      <c r="A342" s="234">
        <v>73</v>
      </c>
      <c r="B342" s="222" t="s">
        <v>1484</v>
      </c>
      <c r="C342" s="235">
        <v>6683490.0000000009</v>
      </c>
      <c r="D342" s="236">
        <f t="shared" si="43"/>
        <v>6684000</v>
      </c>
      <c r="E342" s="236">
        <f t="shared" si="44"/>
        <v>7352000</v>
      </c>
      <c r="F342" s="236">
        <f t="shared" si="45"/>
        <v>8749000</v>
      </c>
      <c r="G342" s="236">
        <f t="shared" si="46"/>
        <v>9624000</v>
      </c>
      <c r="H342" s="236">
        <f t="shared" si="47"/>
        <v>10586000</v>
      </c>
      <c r="I342" s="244">
        <v>10586000</v>
      </c>
      <c r="J342" s="244">
        <v>11645000</v>
      </c>
    </row>
    <row r="343" spans="1:10" ht="19.899999999999999" customHeight="1">
      <c r="A343" s="234">
        <v>74</v>
      </c>
      <c r="B343" s="222" t="s">
        <v>1485</v>
      </c>
      <c r="C343" s="235">
        <v>6683490.0000000009</v>
      </c>
      <c r="D343" s="236">
        <f t="shared" si="43"/>
        <v>6684000</v>
      </c>
      <c r="E343" s="236">
        <f t="shared" si="44"/>
        <v>7352000</v>
      </c>
      <c r="F343" s="236">
        <f t="shared" si="45"/>
        <v>8749000</v>
      </c>
      <c r="G343" s="236">
        <f t="shared" si="46"/>
        <v>9624000</v>
      </c>
      <c r="H343" s="236">
        <f t="shared" si="47"/>
        <v>10586000</v>
      </c>
      <c r="I343" s="244">
        <v>16939000</v>
      </c>
      <c r="J343" s="244">
        <v>18632000</v>
      </c>
    </row>
    <row r="344" spans="1:10" ht="19.899999999999999" customHeight="1">
      <c r="A344" s="234">
        <v>75</v>
      </c>
      <c r="B344" s="222" t="s">
        <v>1486</v>
      </c>
      <c r="C344" s="235">
        <v>6683490.0000000009</v>
      </c>
      <c r="D344" s="236">
        <f t="shared" si="43"/>
        <v>6684000</v>
      </c>
      <c r="E344" s="236">
        <f t="shared" si="44"/>
        <v>7352000</v>
      </c>
      <c r="F344" s="236">
        <f t="shared" si="45"/>
        <v>8749000</v>
      </c>
      <c r="G344" s="236">
        <f t="shared" si="46"/>
        <v>9624000</v>
      </c>
      <c r="H344" s="236">
        <f t="shared" si="47"/>
        <v>10586000</v>
      </c>
      <c r="I344" s="244">
        <v>10586000</v>
      </c>
      <c r="J344" s="244">
        <v>11645000</v>
      </c>
    </row>
    <row r="345" spans="1:10" ht="19.899999999999999" customHeight="1">
      <c r="A345" s="234">
        <v>76</v>
      </c>
      <c r="B345" s="222" t="s">
        <v>1487</v>
      </c>
      <c r="C345" s="235">
        <v>6192450.0000000009</v>
      </c>
      <c r="D345" s="236">
        <f t="shared" si="43"/>
        <v>6193000</v>
      </c>
      <c r="E345" s="236">
        <f t="shared" si="44"/>
        <v>6812000</v>
      </c>
      <c r="F345" s="236">
        <f t="shared" si="45"/>
        <v>8106000</v>
      </c>
      <c r="G345" s="236">
        <f t="shared" si="46"/>
        <v>8917000</v>
      </c>
      <c r="H345" s="236">
        <f t="shared" si="47"/>
        <v>9809000</v>
      </c>
      <c r="I345" s="244">
        <v>10586000</v>
      </c>
      <c r="J345" s="244">
        <v>11645000</v>
      </c>
    </row>
    <row r="346" spans="1:10" ht="19.899999999999999" customHeight="1">
      <c r="A346" s="234">
        <v>77</v>
      </c>
      <c r="B346" s="222" t="s">
        <v>1488</v>
      </c>
      <c r="C346" s="235">
        <v>8334810.0000000009</v>
      </c>
      <c r="D346" s="236">
        <f t="shared" si="43"/>
        <v>8335000</v>
      </c>
      <c r="E346" s="236">
        <f t="shared" si="44"/>
        <v>9169000</v>
      </c>
      <c r="F346" s="236">
        <f t="shared" si="45"/>
        <v>10911000</v>
      </c>
      <c r="G346" s="236">
        <f t="shared" si="46"/>
        <v>12002000</v>
      </c>
      <c r="H346" s="236">
        <f t="shared" si="47"/>
        <v>13202000</v>
      </c>
      <c r="I346" s="244">
        <v>16939000</v>
      </c>
      <c r="J346" s="244">
        <v>18632000</v>
      </c>
    </row>
    <row r="347" spans="1:10" ht="19.899999999999999" customHeight="1">
      <c r="A347" s="234">
        <v>78</v>
      </c>
      <c r="B347" s="222" t="s">
        <v>1489</v>
      </c>
      <c r="C347" s="235">
        <v>6869610.0000000009</v>
      </c>
      <c r="D347" s="236">
        <f t="shared" si="43"/>
        <v>6870000</v>
      </c>
      <c r="E347" s="236">
        <f t="shared" si="44"/>
        <v>7557000</v>
      </c>
      <c r="F347" s="236">
        <f t="shared" si="45"/>
        <v>8993000</v>
      </c>
      <c r="G347" s="236">
        <f t="shared" si="46"/>
        <v>9892000</v>
      </c>
      <c r="H347" s="236">
        <f t="shared" si="47"/>
        <v>10881000</v>
      </c>
      <c r="I347" s="244">
        <v>10586000</v>
      </c>
      <c r="J347" s="244">
        <v>11645000</v>
      </c>
    </row>
    <row r="348" spans="1:10" ht="19.899999999999999" customHeight="1">
      <c r="A348" s="234">
        <v>79</v>
      </c>
      <c r="B348" s="222" t="s">
        <v>1490</v>
      </c>
      <c r="C348" s="235">
        <v>6683490.0000000009</v>
      </c>
      <c r="D348" s="236">
        <f t="shared" si="43"/>
        <v>6684000</v>
      </c>
      <c r="E348" s="236">
        <f t="shared" si="44"/>
        <v>7352000</v>
      </c>
      <c r="F348" s="236">
        <f t="shared" si="45"/>
        <v>8749000</v>
      </c>
      <c r="G348" s="236">
        <f t="shared" si="46"/>
        <v>9624000</v>
      </c>
      <c r="H348" s="236">
        <f t="shared" si="47"/>
        <v>10586000</v>
      </c>
      <c r="I348" s="244">
        <v>10586000</v>
      </c>
      <c r="J348" s="244">
        <v>11645000</v>
      </c>
    </row>
    <row r="349" spans="1:10" ht="19.899999999999999" customHeight="1">
      <c r="A349" s="234">
        <v>80</v>
      </c>
      <c r="B349" s="222" t="s">
        <v>1491</v>
      </c>
      <c r="C349" s="235">
        <v>6683490.0000000009</v>
      </c>
      <c r="D349" s="236">
        <f t="shared" si="43"/>
        <v>6684000</v>
      </c>
      <c r="E349" s="236">
        <f t="shared" si="44"/>
        <v>7352000</v>
      </c>
      <c r="F349" s="236">
        <f t="shared" si="45"/>
        <v>8749000</v>
      </c>
      <c r="G349" s="236">
        <f t="shared" si="46"/>
        <v>9624000</v>
      </c>
      <c r="H349" s="236">
        <f t="shared" si="47"/>
        <v>10586000</v>
      </c>
      <c r="I349" s="244">
        <v>16939000</v>
      </c>
      <c r="J349" s="244">
        <v>18632000</v>
      </c>
    </row>
    <row r="350" spans="1:10" ht="19.899999999999999" customHeight="1">
      <c r="A350" s="234">
        <v>81</v>
      </c>
      <c r="B350" s="222" t="s">
        <v>1492</v>
      </c>
      <c r="C350" s="235">
        <v>10693980</v>
      </c>
      <c r="D350" s="236">
        <f t="shared" si="43"/>
        <v>10694000</v>
      </c>
      <c r="E350" s="236">
        <f t="shared" si="44"/>
        <v>11764000</v>
      </c>
      <c r="F350" s="236">
        <f t="shared" si="45"/>
        <v>13999000</v>
      </c>
      <c r="G350" s="236">
        <f t="shared" si="46"/>
        <v>15399000</v>
      </c>
      <c r="H350" s="236">
        <f t="shared" si="47"/>
        <v>16939000</v>
      </c>
      <c r="I350" s="238"/>
      <c r="J350" s="238"/>
    </row>
    <row r="351" spans="1:10" ht="19.899999999999999" customHeight="1">
      <c r="A351" s="234">
        <v>82</v>
      </c>
      <c r="B351" s="222" t="s">
        <v>1493</v>
      </c>
      <c r="C351" s="235">
        <v>6683490.0000000009</v>
      </c>
      <c r="D351" s="236">
        <f t="shared" si="43"/>
        <v>6684000</v>
      </c>
      <c r="E351" s="236">
        <f t="shared" si="44"/>
        <v>7352000</v>
      </c>
      <c r="F351" s="236">
        <f t="shared" si="45"/>
        <v>8749000</v>
      </c>
      <c r="G351" s="236">
        <f t="shared" si="46"/>
        <v>9624000</v>
      </c>
      <c r="H351" s="236">
        <f t="shared" si="47"/>
        <v>10586000</v>
      </c>
      <c r="I351" s="238"/>
      <c r="J351" s="238"/>
    </row>
    <row r="352" spans="1:10" ht="19.899999999999999" customHeight="1">
      <c r="A352" s="234">
        <v>83</v>
      </c>
      <c r="B352" s="222" t="s">
        <v>1494</v>
      </c>
      <c r="C352" s="235">
        <v>6683490.0000000009</v>
      </c>
      <c r="D352" s="236">
        <f t="shared" si="43"/>
        <v>6684000</v>
      </c>
      <c r="E352" s="236">
        <f t="shared" si="44"/>
        <v>7352000</v>
      </c>
      <c r="F352" s="236">
        <f t="shared" si="45"/>
        <v>8749000</v>
      </c>
      <c r="G352" s="236">
        <f t="shared" si="46"/>
        <v>9624000</v>
      </c>
      <c r="H352" s="236">
        <f t="shared" si="47"/>
        <v>10586000</v>
      </c>
      <c r="I352" s="238"/>
      <c r="J352" s="238"/>
    </row>
    <row r="353" spans="1:10" ht="19.899999999999999" customHeight="1">
      <c r="A353" s="234">
        <v>84</v>
      </c>
      <c r="B353" s="222" t="s">
        <v>1495</v>
      </c>
      <c r="C353" s="235">
        <v>6869610.0000000009</v>
      </c>
      <c r="D353" s="236">
        <f t="shared" si="43"/>
        <v>6870000</v>
      </c>
      <c r="E353" s="236">
        <f t="shared" si="44"/>
        <v>7557000</v>
      </c>
      <c r="F353" s="236">
        <f t="shared" si="45"/>
        <v>8993000</v>
      </c>
      <c r="G353" s="236">
        <f t="shared" si="46"/>
        <v>9892000</v>
      </c>
      <c r="H353" s="236">
        <f t="shared" si="47"/>
        <v>10881000</v>
      </c>
      <c r="I353" s="238"/>
      <c r="J353" s="238"/>
    </row>
    <row r="354" spans="1:10" ht="19.899999999999999" customHeight="1">
      <c r="A354" s="245" t="s">
        <v>462</v>
      </c>
      <c r="B354" s="246"/>
      <c r="C354" s="246"/>
      <c r="D354" s="247"/>
      <c r="E354" s="247"/>
      <c r="F354" s="247"/>
      <c r="G354" s="247"/>
      <c r="H354" s="247"/>
      <c r="I354" s="248"/>
      <c r="J354" s="248"/>
    </row>
    <row r="355" spans="1:10" ht="19.899999999999999" customHeight="1">
      <c r="A355" s="61" t="s">
        <v>1554</v>
      </c>
      <c r="B355" s="246"/>
      <c r="C355" s="246"/>
      <c r="D355" s="247"/>
      <c r="E355" s="247"/>
      <c r="F355" s="247"/>
      <c r="G355" s="247"/>
      <c r="H355" s="247"/>
      <c r="I355" s="248"/>
      <c r="J355" s="248"/>
    </row>
    <row r="356" spans="1:10" ht="19.899999999999999" customHeight="1">
      <c r="A356" s="249" t="s">
        <v>464</v>
      </c>
    </row>
  </sheetData>
  <sortState xmlns:xlrd2="http://schemas.microsoft.com/office/spreadsheetml/2017/richdata2" ref="B270:H353">
    <sortCondition ref="B270:B353"/>
  </sortState>
  <conditionalFormatting sqref="B6:B73">
    <cfRule type="duplicateValues" dxfId="7" priority="5"/>
  </conditionalFormatting>
  <conditionalFormatting sqref="B89:B144">
    <cfRule type="duplicateValues" dxfId="6" priority="4"/>
  </conditionalFormatting>
  <conditionalFormatting sqref="B148:B169">
    <cfRule type="duplicateValues" dxfId="5" priority="3"/>
  </conditionalFormatting>
  <conditionalFormatting sqref="B270:B351">
    <cfRule type="duplicateValues" dxfId="4" priority="1"/>
  </conditionalFormatting>
  <conditionalFormatting sqref="B352:B353 B174:B267">
    <cfRule type="duplicateValues" dxfId="3" priority="2"/>
  </conditionalFormatting>
  <pageMargins left="0.25" right="0.25" top="0.75" bottom="0.75" header="0.3" footer="0.3"/>
  <pageSetup paperSize="9" scale="73" fitToHeight="0" orientation="portrait" horizontalDpi="4294967293" r:id="rId1"/>
  <headerFooter>
    <oddHeader xml:space="preserve">&amp;R&amp;"-,Bold"RADIOLOGI
</oddHeader>
    <oddFooter>&amp;L&amp;P+22 | &amp;F&amp;RTARIF PEMERIKSAAN RADIOLOGI</oddFooter>
  </headerFooter>
  <rowBreaks count="4" manualBreakCount="4">
    <brk id="86" max="16383" man="1"/>
    <brk id="145" max="16383" man="1"/>
    <brk id="170" max="16383" man="1"/>
    <brk id="267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F70A1-D2D1-4B23-9083-510B8C7C4E61}">
  <sheetPr>
    <pageSetUpPr fitToPage="1"/>
  </sheetPr>
  <dimension ref="A1:K345"/>
  <sheetViews>
    <sheetView showGridLines="0" view="pageLayout" topLeftCell="B236" zoomScale="70" zoomScaleNormal="100" zoomScalePageLayoutView="70" workbookViewId="0">
      <selection activeCell="E303" sqref="E303"/>
    </sheetView>
  </sheetViews>
  <sheetFormatPr defaultColWidth="4.85546875" defaultRowHeight="15"/>
  <cols>
    <col min="1" max="1" width="5.140625" style="15" customWidth="1"/>
    <col min="2" max="2" width="47.140625" customWidth="1"/>
    <col min="3" max="3" width="11" hidden="1" customWidth="1"/>
    <col min="4" max="4" width="22.28515625" style="187" customWidth="1"/>
    <col min="5" max="8" width="22.28515625" style="1" customWidth="1"/>
    <col min="9" max="10" width="22.28515625" style="1" hidden="1" customWidth="1"/>
    <col min="12" max="12" width="29" customWidth="1"/>
  </cols>
  <sheetData>
    <row r="1" spans="1:10" ht="15.75">
      <c r="A1" s="64" t="s">
        <v>782</v>
      </c>
      <c r="C1" s="25"/>
      <c r="D1" s="186"/>
      <c r="E1" s="10"/>
      <c r="F1" s="10"/>
      <c r="G1" s="58"/>
      <c r="H1" s="10"/>
    </row>
    <row r="2" spans="1:10" ht="18" customHeight="1">
      <c r="A2" s="64" t="s">
        <v>504</v>
      </c>
      <c r="C2" s="25"/>
      <c r="D2" s="186"/>
      <c r="E2" s="10"/>
      <c r="F2" s="10"/>
      <c r="G2" s="10"/>
      <c r="H2" s="10"/>
    </row>
    <row r="3" spans="1:10" ht="15.75" thickBot="1">
      <c r="B3" s="9"/>
      <c r="C3" s="9"/>
      <c r="D3" s="186"/>
      <c r="E3" s="10"/>
      <c r="F3" s="10"/>
      <c r="G3" s="10"/>
      <c r="H3" s="10"/>
    </row>
    <row r="4" spans="1:10" ht="30.75" thickBot="1">
      <c r="A4" s="250" t="s">
        <v>15</v>
      </c>
      <c r="B4" s="250" t="s">
        <v>62</v>
      </c>
      <c r="C4" s="250"/>
      <c r="D4" s="262" t="s">
        <v>414</v>
      </c>
      <c r="E4" s="263" t="s">
        <v>21</v>
      </c>
      <c r="F4" s="263" t="s">
        <v>2306</v>
      </c>
      <c r="G4" s="263" t="s">
        <v>2307</v>
      </c>
      <c r="H4" s="263" t="s">
        <v>498</v>
      </c>
      <c r="I4" s="251" t="s">
        <v>60</v>
      </c>
      <c r="J4" s="252" t="s">
        <v>61</v>
      </c>
    </row>
    <row r="5" spans="1:10">
      <c r="A5" s="253">
        <v>1</v>
      </c>
      <c r="B5" s="261" t="s">
        <v>872</v>
      </c>
      <c r="C5" s="261">
        <v>1890900.0000000002</v>
      </c>
      <c r="D5" s="236">
        <f>ROUNDUP(C5,-3)</f>
        <v>1891000</v>
      </c>
      <c r="E5" s="236">
        <f>ROUNDUP($C5*1.1,-3)</f>
        <v>2080000</v>
      </c>
      <c r="F5" s="236">
        <f>ROUNDUP($C5*1.1*1.19,-3)</f>
        <v>2476000</v>
      </c>
      <c r="G5" s="236">
        <f>ROUNDUP($C5*1.1*1.19*1.1,-3)</f>
        <v>2723000</v>
      </c>
      <c r="H5" s="236">
        <f>ROUNDUP($C5*1.1*1.19*1.1*1.1,-3)</f>
        <v>2995000</v>
      </c>
      <c r="I5" s="255">
        <v>316000</v>
      </c>
      <c r="J5" s="256">
        <v>348000</v>
      </c>
    </row>
    <row r="6" spans="1:10">
      <c r="A6" s="253">
        <v>2</v>
      </c>
      <c r="B6" s="254" t="s">
        <v>873</v>
      </c>
      <c r="C6" s="254">
        <v>1890900.0000000002</v>
      </c>
      <c r="D6" s="236">
        <f t="shared" ref="D6:D69" si="0">ROUNDUP(C6,-3)</f>
        <v>1891000</v>
      </c>
      <c r="E6" s="236">
        <f t="shared" ref="E6:E69" si="1">ROUNDUP($C6*1.1,-3)</f>
        <v>2080000</v>
      </c>
      <c r="F6" s="236">
        <f t="shared" ref="F6:F69" si="2">ROUNDUP($C6*1.1*1.19,-3)</f>
        <v>2476000</v>
      </c>
      <c r="G6" s="236">
        <f t="shared" ref="G6:G69" si="3">ROUNDUP($C6*1.1*1.19*1.1,-3)</f>
        <v>2723000</v>
      </c>
      <c r="H6" s="236">
        <f t="shared" ref="H6:H69" si="4">ROUNDUP($C6*1.1*1.19*1.1*1.1,-3)</f>
        <v>2995000</v>
      </c>
      <c r="I6" s="255">
        <v>287000</v>
      </c>
      <c r="J6" s="256">
        <v>316000</v>
      </c>
    </row>
    <row r="7" spans="1:10">
      <c r="A7" s="253">
        <v>3</v>
      </c>
      <c r="B7" s="254" t="s">
        <v>874</v>
      </c>
      <c r="C7" s="254">
        <v>1351900</v>
      </c>
      <c r="D7" s="236">
        <f t="shared" si="0"/>
        <v>1352000</v>
      </c>
      <c r="E7" s="236">
        <f t="shared" si="1"/>
        <v>1488000</v>
      </c>
      <c r="F7" s="236">
        <f t="shared" si="2"/>
        <v>1770000</v>
      </c>
      <c r="G7" s="236">
        <f t="shared" si="3"/>
        <v>1947000</v>
      </c>
      <c r="H7" s="236">
        <f t="shared" si="4"/>
        <v>2142000</v>
      </c>
      <c r="I7" s="255">
        <v>108000</v>
      </c>
      <c r="J7" s="256">
        <v>119000</v>
      </c>
    </row>
    <row r="8" spans="1:10">
      <c r="A8" s="253">
        <v>4</v>
      </c>
      <c r="B8" s="254" t="s">
        <v>262</v>
      </c>
      <c r="C8" s="254">
        <v>911900.00000000012</v>
      </c>
      <c r="D8" s="236">
        <f t="shared" si="0"/>
        <v>912000</v>
      </c>
      <c r="E8" s="236">
        <f t="shared" si="1"/>
        <v>1004000</v>
      </c>
      <c r="F8" s="236">
        <f t="shared" si="2"/>
        <v>1194000</v>
      </c>
      <c r="G8" s="236">
        <f t="shared" si="3"/>
        <v>1314000</v>
      </c>
      <c r="H8" s="236">
        <f t="shared" si="4"/>
        <v>1445000</v>
      </c>
      <c r="I8" s="255">
        <v>108000</v>
      </c>
      <c r="J8" s="256">
        <v>119000</v>
      </c>
    </row>
    <row r="9" spans="1:10">
      <c r="A9" s="253">
        <v>5</v>
      </c>
      <c r="B9" s="254" t="s">
        <v>153</v>
      </c>
      <c r="C9" s="254">
        <v>845900.00000000012</v>
      </c>
      <c r="D9" s="236">
        <f t="shared" si="0"/>
        <v>846000</v>
      </c>
      <c r="E9" s="236">
        <f t="shared" si="1"/>
        <v>931000</v>
      </c>
      <c r="F9" s="236">
        <f t="shared" si="2"/>
        <v>1108000</v>
      </c>
      <c r="G9" s="236">
        <f t="shared" si="3"/>
        <v>1219000</v>
      </c>
      <c r="H9" s="236">
        <f t="shared" si="4"/>
        <v>1340000</v>
      </c>
      <c r="I9" s="255">
        <v>108000</v>
      </c>
      <c r="J9" s="256">
        <v>119000</v>
      </c>
    </row>
    <row r="10" spans="1:10">
      <c r="A10" s="253">
        <v>6</v>
      </c>
      <c r="B10" s="254" t="s">
        <v>165</v>
      </c>
      <c r="C10" s="254">
        <v>94600.000000000015</v>
      </c>
      <c r="D10" s="236">
        <f t="shared" si="0"/>
        <v>95000</v>
      </c>
      <c r="E10" s="236">
        <f t="shared" si="1"/>
        <v>105000</v>
      </c>
      <c r="F10" s="236">
        <f t="shared" si="2"/>
        <v>124000</v>
      </c>
      <c r="G10" s="236">
        <f t="shared" si="3"/>
        <v>137000</v>
      </c>
      <c r="H10" s="236">
        <f t="shared" si="4"/>
        <v>150000</v>
      </c>
      <c r="I10" s="255">
        <v>108000</v>
      </c>
      <c r="J10" s="256">
        <v>119000</v>
      </c>
    </row>
    <row r="11" spans="1:10">
      <c r="A11" s="253">
        <v>7</v>
      </c>
      <c r="B11" s="254" t="s">
        <v>875</v>
      </c>
      <c r="C11" s="254">
        <v>1239700</v>
      </c>
      <c r="D11" s="236">
        <f t="shared" si="0"/>
        <v>1240000</v>
      </c>
      <c r="E11" s="236">
        <f t="shared" si="1"/>
        <v>1364000</v>
      </c>
      <c r="F11" s="236">
        <f t="shared" si="2"/>
        <v>1623000</v>
      </c>
      <c r="G11" s="236">
        <f t="shared" si="3"/>
        <v>1786000</v>
      </c>
      <c r="H11" s="236">
        <f t="shared" si="4"/>
        <v>1964000</v>
      </c>
      <c r="I11" s="255">
        <v>108000</v>
      </c>
      <c r="J11" s="256">
        <v>119000</v>
      </c>
    </row>
    <row r="12" spans="1:10">
      <c r="A12" s="253">
        <v>8</v>
      </c>
      <c r="B12" s="254" t="s">
        <v>173</v>
      </c>
      <c r="C12" s="254">
        <v>167200</v>
      </c>
      <c r="D12" s="236">
        <f t="shared" si="0"/>
        <v>168000</v>
      </c>
      <c r="E12" s="236">
        <f t="shared" si="1"/>
        <v>184000</v>
      </c>
      <c r="F12" s="236">
        <f t="shared" si="2"/>
        <v>219000</v>
      </c>
      <c r="G12" s="236">
        <f t="shared" si="3"/>
        <v>241000</v>
      </c>
      <c r="H12" s="236">
        <f t="shared" si="4"/>
        <v>265000</v>
      </c>
      <c r="I12" s="255">
        <v>108000</v>
      </c>
      <c r="J12" s="256">
        <v>119000</v>
      </c>
    </row>
    <row r="13" spans="1:10">
      <c r="A13" s="253">
        <v>9</v>
      </c>
      <c r="B13" s="254" t="s">
        <v>876</v>
      </c>
      <c r="C13" s="254">
        <v>354200</v>
      </c>
      <c r="D13" s="236">
        <f t="shared" si="0"/>
        <v>355000</v>
      </c>
      <c r="E13" s="236">
        <f t="shared" si="1"/>
        <v>390000</v>
      </c>
      <c r="F13" s="236">
        <f t="shared" si="2"/>
        <v>464000</v>
      </c>
      <c r="G13" s="236">
        <f t="shared" si="3"/>
        <v>511000</v>
      </c>
      <c r="H13" s="236">
        <f t="shared" si="4"/>
        <v>562000</v>
      </c>
      <c r="I13" s="255">
        <v>165000</v>
      </c>
      <c r="J13" s="256">
        <v>181000</v>
      </c>
    </row>
    <row r="14" spans="1:10">
      <c r="A14" s="253">
        <v>10</v>
      </c>
      <c r="B14" s="254" t="s">
        <v>231</v>
      </c>
      <c r="C14" s="254">
        <v>761200.00000000012</v>
      </c>
      <c r="D14" s="236">
        <f t="shared" si="0"/>
        <v>762000</v>
      </c>
      <c r="E14" s="236">
        <f t="shared" si="1"/>
        <v>838000</v>
      </c>
      <c r="F14" s="236">
        <f t="shared" si="2"/>
        <v>997000</v>
      </c>
      <c r="G14" s="236">
        <f t="shared" si="3"/>
        <v>1097000</v>
      </c>
      <c r="H14" s="236">
        <f t="shared" si="4"/>
        <v>1206000</v>
      </c>
      <c r="I14" s="255">
        <v>138000</v>
      </c>
      <c r="J14" s="256">
        <v>151000</v>
      </c>
    </row>
    <row r="15" spans="1:10">
      <c r="A15" s="253">
        <v>11</v>
      </c>
      <c r="B15" s="254" t="s">
        <v>877</v>
      </c>
      <c r="C15" s="254">
        <v>586300</v>
      </c>
      <c r="D15" s="236">
        <f t="shared" si="0"/>
        <v>587000</v>
      </c>
      <c r="E15" s="236">
        <f t="shared" si="1"/>
        <v>645000</v>
      </c>
      <c r="F15" s="236">
        <f t="shared" si="2"/>
        <v>768000</v>
      </c>
      <c r="G15" s="236">
        <f t="shared" si="3"/>
        <v>845000</v>
      </c>
      <c r="H15" s="236">
        <f t="shared" si="4"/>
        <v>929000</v>
      </c>
      <c r="I15" s="255">
        <v>276000</v>
      </c>
      <c r="J15" s="256">
        <v>304000</v>
      </c>
    </row>
    <row r="16" spans="1:10">
      <c r="A16" s="253">
        <v>12</v>
      </c>
      <c r="B16" s="254" t="s">
        <v>255</v>
      </c>
      <c r="C16" s="254">
        <v>213400.00000000003</v>
      </c>
      <c r="D16" s="236">
        <f t="shared" si="0"/>
        <v>214000</v>
      </c>
      <c r="E16" s="236">
        <f t="shared" si="1"/>
        <v>235000</v>
      </c>
      <c r="F16" s="236">
        <f t="shared" si="2"/>
        <v>280000</v>
      </c>
      <c r="G16" s="236">
        <f t="shared" si="3"/>
        <v>308000</v>
      </c>
      <c r="H16" s="236">
        <f t="shared" si="4"/>
        <v>339000</v>
      </c>
      <c r="I16" s="255">
        <v>542000</v>
      </c>
      <c r="J16" s="256">
        <v>597000</v>
      </c>
    </row>
    <row r="17" spans="1:11">
      <c r="A17" s="253">
        <v>13</v>
      </c>
      <c r="B17" s="254" t="s">
        <v>1496</v>
      </c>
      <c r="C17" s="254">
        <v>827200.00000000012</v>
      </c>
      <c r="D17" s="236">
        <f t="shared" si="0"/>
        <v>828000</v>
      </c>
      <c r="E17" s="236">
        <f t="shared" si="1"/>
        <v>910000</v>
      </c>
      <c r="F17" s="236">
        <f t="shared" si="2"/>
        <v>1083000</v>
      </c>
      <c r="G17" s="236">
        <f t="shared" si="3"/>
        <v>1192000</v>
      </c>
      <c r="H17" s="236">
        <f t="shared" si="4"/>
        <v>1311000</v>
      </c>
      <c r="I17" s="255">
        <v>2164000</v>
      </c>
      <c r="J17" s="256">
        <v>2381000</v>
      </c>
    </row>
    <row r="18" spans="1:11">
      <c r="A18" s="253">
        <v>14</v>
      </c>
      <c r="B18" s="254" t="s">
        <v>878</v>
      </c>
      <c r="C18" s="254">
        <v>1555400.0000000002</v>
      </c>
      <c r="D18" s="236">
        <f t="shared" si="0"/>
        <v>1556000</v>
      </c>
      <c r="E18" s="236">
        <f t="shared" si="1"/>
        <v>1711000</v>
      </c>
      <c r="F18" s="236">
        <f t="shared" si="2"/>
        <v>2037000</v>
      </c>
      <c r="G18" s="236">
        <f t="shared" si="3"/>
        <v>2240000</v>
      </c>
      <c r="H18" s="236">
        <f t="shared" si="4"/>
        <v>2464000</v>
      </c>
      <c r="I18" s="255">
        <v>378000</v>
      </c>
      <c r="J18" s="256">
        <v>415000</v>
      </c>
    </row>
    <row r="19" spans="1:11">
      <c r="A19" s="253">
        <v>15</v>
      </c>
      <c r="B19" s="254" t="s">
        <v>230</v>
      </c>
      <c r="C19" s="254">
        <v>1419000</v>
      </c>
      <c r="D19" s="236">
        <f t="shared" si="0"/>
        <v>1419000</v>
      </c>
      <c r="E19" s="236">
        <f t="shared" si="1"/>
        <v>1561000</v>
      </c>
      <c r="F19" s="236">
        <f t="shared" si="2"/>
        <v>1858000</v>
      </c>
      <c r="G19" s="236">
        <f t="shared" si="3"/>
        <v>2044000</v>
      </c>
      <c r="H19" s="236">
        <f t="shared" si="4"/>
        <v>2248000</v>
      </c>
      <c r="I19" s="255"/>
      <c r="J19" s="256"/>
    </row>
    <row r="20" spans="1:11">
      <c r="A20" s="253">
        <v>16</v>
      </c>
      <c r="B20" s="254" t="s">
        <v>229</v>
      </c>
      <c r="C20" s="254">
        <v>2344100</v>
      </c>
      <c r="D20" s="236">
        <f t="shared" si="0"/>
        <v>2345000</v>
      </c>
      <c r="E20" s="236">
        <f t="shared" si="1"/>
        <v>2579000</v>
      </c>
      <c r="F20" s="236">
        <f t="shared" si="2"/>
        <v>3069000</v>
      </c>
      <c r="G20" s="236">
        <f t="shared" si="3"/>
        <v>3376000</v>
      </c>
      <c r="H20" s="236">
        <f t="shared" si="4"/>
        <v>3713000</v>
      </c>
      <c r="I20" s="255">
        <v>2963000</v>
      </c>
      <c r="J20" s="256">
        <v>3259000</v>
      </c>
    </row>
    <row r="21" spans="1:11">
      <c r="A21" s="253">
        <v>17</v>
      </c>
      <c r="B21" s="254" t="s">
        <v>296</v>
      </c>
      <c r="C21" s="254">
        <v>656700</v>
      </c>
      <c r="D21" s="236">
        <f t="shared" si="0"/>
        <v>657000</v>
      </c>
      <c r="E21" s="236">
        <f t="shared" si="1"/>
        <v>723000</v>
      </c>
      <c r="F21" s="236">
        <f t="shared" si="2"/>
        <v>860000</v>
      </c>
      <c r="G21" s="236">
        <f t="shared" si="3"/>
        <v>946000</v>
      </c>
      <c r="H21" s="236">
        <f t="shared" si="4"/>
        <v>1041000</v>
      </c>
      <c r="I21" s="255">
        <v>522000</v>
      </c>
      <c r="J21" s="256">
        <v>575000</v>
      </c>
    </row>
    <row r="22" spans="1:11">
      <c r="A22" s="253">
        <v>18</v>
      </c>
      <c r="B22" s="254" t="s">
        <v>1497</v>
      </c>
      <c r="C22" s="254">
        <v>1925000.0000000002</v>
      </c>
      <c r="D22" s="236">
        <f t="shared" si="0"/>
        <v>1925000</v>
      </c>
      <c r="E22" s="236">
        <f t="shared" si="1"/>
        <v>2118000</v>
      </c>
      <c r="F22" s="236">
        <f t="shared" si="2"/>
        <v>2520000</v>
      </c>
      <c r="G22" s="236">
        <f t="shared" si="3"/>
        <v>2772000</v>
      </c>
      <c r="H22" s="236">
        <f t="shared" si="4"/>
        <v>3049000</v>
      </c>
      <c r="I22" s="255">
        <v>69000</v>
      </c>
      <c r="J22" s="256">
        <v>76000</v>
      </c>
    </row>
    <row r="23" spans="1:11">
      <c r="A23" s="253">
        <v>19</v>
      </c>
      <c r="B23" s="254" t="s">
        <v>297</v>
      </c>
      <c r="C23" s="254">
        <v>718300</v>
      </c>
      <c r="D23" s="236">
        <f t="shared" si="0"/>
        <v>719000</v>
      </c>
      <c r="E23" s="236">
        <f t="shared" si="1"/>
        <v>791000</v>
      </c>
      <c r="F23" s="236">
        <f t="shared" si="2"/>
        <v>941000</v>
      </c>
      <c r="G23" s="236">
        <f t="shared" si="3"/>
        <v>1035000</v>
      </c>
      <c r="H23" s="236">
        <f t="shared" si="4"/>
        <v>1138000</v>
      </c>
      <c r="I23" s="255">
        <v>69000</v>
      </c>
      <c r="J23" s="256">
        <v>76000</v>
      </c>
    </row>
    <row r="24" spans="1:11">
      <c r="A24" s="253">
        <v>20</v>
      </c>
      <c r="B24" s="254" t="s">
        <v>298</v>
      </c>
      <c r="C24" s="254">
        <v>897600.00000000012</v>
      </c>
      <c r="D24" s="236">
        <f t="shared" si="0"/>
        <v>898000</v>
      </c>
      <c r="E24" s="236">
        <f t="shared" si="1"/>
        <v>988000</v>
      </c>
      <c r="F24" s="236">
        <f t="shared" si="2"/>
        <v>1175000</v>
      </c>
      <c r="G24" s="236">
        <f t="shared" si="3"/>
        <v>1293000</v>
      </c>
      <c r="H24" s="236">
        <f t="shared" si="4"/>
        <v>1422000</v>
      </c>
      <c r="I24" s="255">
        <v>1314000</v>
      </c>
      <c r="J24" s="256">
        <v>1445000</v>
      </c>
      <c r="K24" s="23"/>
    </row>
    <row r="25" spans="1:11">
      <c r="A25" s="253">
        <v>21</v>
      </c>
      <c r="B25" s="254" t="s">
        <v>299</v>
      </c>
      <c r="C25" s="254">
        <v>897600.00000000012</v>
      </c>
      <c r="D25" s="236">
        <f t="shared" si="0"/>
        <v>898000</v>
      </c>
      <c r="E25" s="236">
        <f t="shared" si="1"/>
        <v>988000</v>
      </c>
      <c r="F25" s="236">
        <f t="shared" si="2"/>
        <v>1175000</v>
      </c>
      <c r="G25" s="236">
        <f t="shared" si="3"/>
        <v>1293000</v>
      </c>
      <c r="H25" s="236">
        <f t="shared" si="4"/>
        <v>1422000</v>
      </c>
      <c r="I25" s="255">
        <v>2668000</v>
      </c>
      <c r="J25" s="256">
        <v>2935000</v>
      </c>
    </row>
    <row r="26" spans="1:11">
      <c r="A26" s="253">
        <v>22</v>
      </c>
      <c r="B26" s="254" t="s">
        <v>300</v>
      </c>
      <c r="C26" s="254">
        <v>897600.00000000012</v>
      </c>
      <c r="D26" s="236">
        <f t="shared" si="0"/>
        <v>898000</v>
      </c>
      <c r="E26" s="236">
        <f t="shared" si="1"/>
        <v>988000</v>
      </c>
      <c r="F26" s="236">
        <f t="shared" si="2"/>
        <v>1175000</v>
      </c>
      <c r="G26" s="236">
        <f t="shared" si="3"/>
        <v>1293000</v>
      </c>
      <c r="H26" s="236">
        <f t="shared" si="4"/>
        <v>1422000</v>
      </c>
      <c r="I26" s="255">
        <v>2480000</v>
      </c>
      <c r="J26" s="256">
        <v>2728000</v>
      </c>
    </row>
    <row r="27" spans="1:11">
      <c r="A27" s="253">
        <v>23</v>
      </c>
      <c r="B27" s="254" t="s">
        <v>880</v>
      </c>
      <c r="C27" s="254">
        <v>1491600.0000000002</v>
      </c>
      <c r="D27" s="236">
        <f t="shared" si="0"/>
        <v>1492000</v>
      </c>
      <c r="E27" s="236">
        <f t="shared" si="1"/>
        <v>1641000</v>
      </c>
      <c r="F27" s="236">
        <f t="shared" si="2"/>
        <v>1953000</v>
      </c>
      <c r="G27" s="236">
        <f t="shared" si="3"/>
        <v>2148000</v>
      </c>
      <c r="H27" s="236">
        <f t="shared" si="4"/>
        <v>2363000</v>
      </c>
      <c r="I27" s="255">
        <v>686000</v>
      </c>
      <c r="J27" s="256">
        <v>754000</v>
      </c>
    </row>
    <row r="28" spans="1:11">
      <c r="A28" s="253">
        <v>24</v>
      </c>
      <c r="B28" s="254" t="s">
        <v>1498</v>
      </c>
      <c r="C28" s="254">
        <v>1871100.0000000002</v>
      </c>
      <c r="D28" s="236">
        <f t="shared" si="0"/>
        <v>1872000</v>
      </c>
      <c r="E28" s="236">
        <f t="shared" si="1"/>
        <v>2059000</v>
      </c>
      <c r="F28" s="236">
        <f t="shared" si="2"/>
        <v>2450000</v>
      </c>
      <c r="G28" s="236">
        <f t="shared" si="3"/>
        <v>2695000</v>
      </c>
      <c r="H28" s="236">
        <f t="shared" si="4"/>
        <v>2964000</v>
      </c>
      <c r="I28" s="255">
        <v>1932000</v>
      </c>
      <c r="J28" s="256">
        <v>2125000</v>
      </c>
    </row>
    <row r="29" spans="1:11">
      <c r="A29" s="253">
        <v>25</v>
      </c>
      <c r="B29" s="254" t="s">
        <v>295</v>
      </c>
      <c r="C29" s="254">
        <v>520300.00000000006</v>
      </c>
      <c r="D29" s="236">
        <f t="shared" si="0"/>
        <v>521000</v>
      </c>
      <c r="E29" s="236">
        <f t="shared" si="1"/>
        <v>573000</v>
      </c>
      <c r="F29" s="236">
        <f t="shared" si="2"/>
        <v>682000</v>
      </c>
      <c r="G29" s="236">
        <f t="shared" si="3"/>
        <v>750000</v>
      </c>
      <c r="H29" s="236">
        <f t="shared" si="4"/>
        <v>825000</v>
      </c>
      <c r="I29" s="255">
        <v>1064000</v>
      </c>
      <c r="J29" s="256">
        <v>1171000</v>
      </c>
    </row>
    <row r="30" spans="1:11">
      <c r="A30" s="253">
        <v>26</v>
      </c>
      <c r="B30" s="254" t="s">
        <v>881</v>
      </c>
      <c r="C30" s="254">
        <v>1134100</v>
      </c>
      <c r="D30" s="236">
        <f t="shared" si="0"/>
        <v>1135000</v>
      </c>
      <c r="E30" s="236">
        <f t="shared" si="1"/>
        <v>1248000</v>
      </c>
      <c r="F30" s="236">
        <f t="shared" si="2"/>
        <v>1485000</v>
      </c>
      <c r="G30" s="236">
        <f t="shared" si="3"/>
        <v>1633000</v>
      </c>
      <c r="H30" s="236">
        <f t="shared" si="4"/>
        <v>1797000</v>
      </c>
      <c r="I30" s="255">
        <v>150000</v>
      </c>
      <c r="J30" s="256">
        <v>165000</v>
      </c>
    </row>
    <row r="31" spans="1:11">
      <c r="A31" s="253">
        <v>27</v>
      </c>
      <c r="B31" s="254" t="s">
        <v>882</v>
      </c>
      <c r="C31" s="254">
        <v>1334300</v>
      </c>
      <c r="D31" s="236">
        <f t="shared" si="0"/>
        <v>1335000</v>
      </c>
      <c r="E31" s="236">
        <f t="shared" si="1"/>
        <v>1468000</v>
      </c>
      <c r="F31" s="236">
        <f t="shared" si="2"/>
        <v>1747000</v>
      </c>
      <c r="G31" s="236">
        <f t="shared" si="3"/>
        <v>1922000</v>
      </c>
      <c r="H31" s="236">
        <f t="shared" si="4"/>
        <v>2114000</v>
      </c>
      <c r="I31" s="255">
        <v>812000</v>
      </c>
      <c r="J31" s="256">
        <v>893000</v>
      </c>
    </row>
    <row r="32" spans="1:11">
      <c r="A32" s="253">
        <v>28</v>
      </c>
      <c r="B32" s="254" t="s">
        <v>1499</v>
      </c>
      <c r="C32" s="254">
        <v>1122000</v>
      </c>
      <c r="D32" s="236">
        <f t="shared" si="0"/>
        <v>1122000</v>
      </c>
      <c r="E32" s="236">
        <f t="shared" si="1"/>
        <v>1235000</v>
      </c>
      <c r="F32" s="236">
        <f t="shared" si="2"/>
        <v>1469000</v>
      </c>
      <c r="G32" s="236">
        <f t="shared" si="3"/>
        <v>1616000</v>
      </c>
      <c r="H32" s="236">
        <f t="shared" si="4"/>
        <v>1778000</v>
      </c>
      <c r="I32" s="255">
        <v>2182000</v>
      </c>
      <c r="J32" s="256">
        <v>2401000</v>
      </c>
    </row>
    <row r="33" spans="1:10">
      <c r="A33" s="253">
        <v>29</v>
      </c>
      <c r="B33" s="254" t="s">
        <v>883</v>
      </c>
      <c r="C33" s="254">
        <v>913000.00000000012</v>
      </c>
      <c r="D33" s="236">
        <f t="shared" si="0"/>
        <v>913000</v>
      </c>
      <c r="E33" s="236">
        <f t="shared" si="1"/>
        <v>1005000</v>
      </c>
      <c r="F33" s="236">
        <f t="shared" si="2"/>
        <v>1196000</v>
      </c>
      <c r="G33" s="236">
        <f t="shared" si="3"/>
        <v>1315000</v>
      </c>
      <c r="H33" s="236">
        <f t="shared" si="4"/>
        <v>1447000</v>
      </c>
      <c r="I33" s="255">
        <v>1691000</v>
      </c>
      <c r="J33" s="256">
        <v>1860000</v>
      </c>
    </row>
    <row r="34" spans="1:10">
      <c r="A34" s="253">
        <v>30</v>
      </c>
      <c r="B34" s="254" t="s">
        <v>884</v>
      </c>
      <c r="C34" s="254">
        <v>1281500</v>
      </c>
      <c r="D34" s="236">
        <f t="shared" si="0"/>
        <v>1282000</v>
      </c>
      <c r="E34" s="236">
        <f t="shared" si="1"/>
        <v>1410000</v>
      </c>
      <c r="F34" s="236">
        <f t="shared" si="2"/>
        <v>1678000</v>
      </c>
      <c r="G34" s="236">
        <f t="shared" si="3"/>
        <v>1846000</v>
      </c>
      <c r="H34" s="236">
        <f t="shared" si="4"/>
        <v>2030000</v>
      </c>
      <c r="I34" s="255">
        <v>149000</v>
      </c>
      <c r="J34" s="256">
        <v>164000</v>
      </c>
    </row>
    <row r="35" spans="1:10">
      <c r="A35" s="253">
        <v>31</v>
      </c>
      <c r="B35" s="254" t="s">
        <v>885</v>
      </c>
      <c r="C35" s="254">
        <v>1293600</v>
      </c>
      <c r="D35" s="236">
        <f t="shared" si="0"/>
        <v>1294000</v>
      </c>
      <c r="E35" s="236">
        <f t="shared" si="1"/>
        <v>1423000</v>
      </c>
      <c r="F35" s="236">
        <f t="shared" si="2"/>
        <v>1694000</v>
      </c>
      <c r="G35" s="236">
        <f t="shared" si="3"/>
        <v>1863000</v>
      </c>
      <c r="H35" s="236">
        <f t="shared" si="4"/>
        <v>2049000</v>
      </c>
      <c r="I35" s="255">
        <v>150000</v>
      </c>
      <c r="J35" s="256">
        <v>165000</v>
      </c>
    </row>
    <row r="36" spans="1:10">
      <c r="A36" s="253">
        <v>32</v>
      </c>
      <c r="B36" s="254" t="s">
        <v>886</v>
      </c>
      <c r="C36" s="254">
        <v>1447600.0000000002</v>
      </c>
      <c r="D36" s="236">
        <f t="shared" si="0"/>
        <v>1448000</v>
      </c>
      <c r="E36" s="236">
        <f t="shared" si="1"/>
        <v>1593000</v>
      </c>
      <c r="F36" s="236">
        <f t="shared" si="2"/>
        <v>1895000</v>
      </c>
      <c r="G36" s="236">
        <f t="shared" si="3"/>
        <v>2085000</v>
      </c>
      <c r="H36" s="236">
        <f t="shared" si="4"/>
        <v>2293000</v>
      </c>
      <c r="I36" s="255">
        <v>150000</v>
      </c>
      <c r="J36" s="256">
        <v>165000</v>
      </c>
    </row>
    <row r="37" spans="1:10">
      <c r="A37" s="253">
        <v>33</v>
      </c>
      <c r="B37" s="254" t="s">
        <v>887</v>
      </c>
      <c r="C37" s="254">
        <v>1153900</v>
      </c>
      <c r="D37" s="236">
        <f t="shared" si="0"/>
        <v>1154000</v>
      </c>
      <c r="E37" s="236">
        <f t="shared" si="1"/>
        <v>1270000</v>
      </c>
      <c r="F37" s="236">
        <f t="shared" si="2"/>
        <v>1511000</v>
      </c>
      <c r="G37" s="236">
        <f t="shared" si="3"/>
        <v>1662000</v>
      </c>
      <c r="H37" s="236">
        <f t="shared" si="4"/>
        <v>1828000</v>
      </c>
      <c r="I37" s="255">
        <v>150000</v>
      </c>
      <c r="J37" s="256">
        <v>165000</v>
      </c>
    </row>
    <row r="38" spans="1:10">
      <c r="A38" s="253">
        <v>34</v>
      </c>
      <c r="B38" s="254" t="s">
        <v>888</v>
      </c>
      <c r="C38" s="254">
        <v>949300.00000000012</v>
      </c>
      <c r="D38" s="236">
        <f t="shared" si="0"/>
        <v>950000</v>
      </c>
      <c r="E38" s="236">
        <f t="shared" si="1"/>
        <v>1045000</v>
      </c>
      <c r="F38" s="236">
        <f t="shared" si="2"/>
        <v>1243000</v>
      </c>
      <c r="G38" s="236">
        <f t="shared" si="3"/>
        <v>1367000</v>
      </c>
      <c r="H38" s="236">
        <f t="shared" si="4"/>
        <v>1504000</v>
      </c>
      <c r="I38" s="255">
        <v>455000</v>
      </c>
      <c r="J38" s="256">
        <v>501000</v>
      </c>
    </row>
    <row r="39" spans="1:10">
      <c r="A39" s="253">
        <v>35</v>
      </c>
      <c r="B39" s="254" t="s">
        <v>889</v>
      </c>
      <c r="C39" s="254">
        <v>1705000.0000000002</v>
      </c>
      <c r="D39" s="236">
        <f t="shared" si="0"/>
        <v>1705000</v>
      </c>
      <c r="E39" s="236">
        <f t="shared" si="1"/>
        <v>1876000</v>
      </c>
      <c r="F39" s="236">
        <f t="shared" si="2"/>
        <v>2232000</v>
      </c>
      <c r="G39" s="236">
        <f t="shared" si="3"/>
        <v>2456000</v>
      </c>
      <c r="H39" s="236">
        <f t="shared" si="4"/>
        <v>2701000</v>
      </c>
      <c r="I39" s="255">
        <v>163000</v>
      </c>
      <c r="J39" s="256">
        <v>179000</v>
      </c>
    </row>
    <row r="40" spans="1:10">
      <c r="A40" s="253">
        <v>36</v>
      </c>
      <c r="B40" s="254" t="s">
        <v>890</v>
      </c>
      <c r="C40" s="254">
        <v>1735800.0000000002</v>
      </c>
      <c r="D40" s="236">
        <f t="shared" si="0"/>
        <v>1736000</v>
      </c>
      <c r="E40" s="236">
        <f t="shared" si="1"/>
        <v>1910000</v>
      </c>
      <c r="F40" s="236">
        <f t="shared" si="2"/>
        <v>2273000</v>
      </c>
      <c r="G40" s="236">
        <f t="shared" si="3"/>
        <v>2500000</v>
      </c>
      <c r="H40" s="236">
        <f t="shared" si="4"/>
        <v>2750000</v>
      </c>
      <c r="I40" s="255">
        <v>152000</v>
      </c>
      <c r="J40" s="256">
        <v>167000</v>
      </c>
    </row>
    <row r="41" spans="1:10">
      <c r="A41" s="253">
        <v>37</v>
      </c>
      <c r="B41" s="254" t="s">
        <v>891</v>
      </c>
      <c r="C41" s="254">
        <v>301400</v>
      </c>
      <c r="D41" s="236">
        <f t="shared" si="0"/>
        <v>302000</v>
      </c>
      <c r="E41" s="236">
        <f t="shared" si="1"/>
        <v>332000</v>
      </c>
      <c r="F41" s="236">
        <f t="shared" si="2"/>
        <v>395000</v>
      </c>
      <c r="G41" s="236">
        <f t="shared" si="3"/>
        <v>434000</v>
      </c>
      <c r="H41" s="236">
        <f t="shared" si="4"/>
        <v>478000</v>
      </c>
      <c r="I41" s="255">
        <v>152000</v>
      </c>
      <c r="J41" s="256">
        <v>167000</v>
      </c>
    </row>
    <row r="42" spans="1:10">
      <c r="A42" s="253">
        <v>38</v>
      </c>
      <c r="B42" s="254" t="s">
        <v>1500</v>
      </c>
      <c r="C42" s="254">
        <v>847000.00000000012</v>
      </c>
      <c r="D42" s="236">
        <f t="shared" si="0"/>
        <v>847000</v>
      </c>
      <c r="E42" s="236">
        <f t="shared" si="1"/>
        <v>932000</v>
      </c>
      <c r="F42" s="236">
        <f t="shared" si="2"/>
        <v>1109000</v>
      </c>
      <c r="G42" s="236">
        <f t="shared" si="3"/>
        <v>1220000</v>
      </c>
      <c r="H42" s="236">
        <f t="shared" si="4"/>
        <v>1342000</v>
      </c>
      <c r="I42" s="255">
        <v>292000</v>
      </c>
      <c r="J42" s="256">
        <v>321000</v>
      </c>
    </row>
    <row r="43" spans="1:10">
      <c r="A43" s="253">
        <v>39</v>
      </c>
      <c r="B43" s="254" t="s">
        <v>212</v>
      </c>
      <c r="C43" s="254">
        <v>1045000.0000000001</v>
      </c>
      <c r="D43" s="236">
        <f t="shared" si="0"/>
        <v>1045000</v>
      </c>
      <c r="E43" s="236">
        <f t="shared" si="1"/>
        <v>1150000</v>
      </c>
      <c r="F43" s="236">
        <f t="shared" si="2"/>
        <v>1368000</v>
      </c>
      <c r="G43" s="236">
        <f t="shared" si="3"/>
        <v>1505000</v>
      </c>
      <c r="H43" s="236">
        <f t="shared" si="4"/>
        <v>1656000</v>
      </c>
      <c r="I43" s="255">
        <v>236000</v>
      </c>
      <c r="J43" s="256">
        <v>259000</v>
      </c>
    </row>
    <row r="44" spans="1:10">
      <c r="A44" s="253">
        <v>40</v>
      </c>
      <c r="B44" s="254" t="s">
        <v>892</v>
      </c>
      <c r="C44" s="254">
        <v>1662100.0000000002</v>
      </c>
      <c r="D44" s="236">
        <f t="shared" si="0"/>
        <v>1663000</v>
      </c>
      <c r="E44" s="236">
        <f t="shared" si="1"/>
        <v>1829000</v>
      </c>
      <c r="F44" s="236">
        <f t="shared" si="2"/>
        <v>2176000</v>
      </c>
      <c r="G44" s="236">
        <f t="shared" si="3"/>
        <v>2394000</v>
      </c>
      <c r="H44" s="236">
        <f t="shared" si="4"/>
        <v>2633000</v>
      </c>
      <c r="I44" s="255">
        <v>140000</v>
      </c>
      <c r="J44" s="256">
        <v>154000</v>
      </c>
    </row>
    <row r="45" spans="1:10">
      <c r="A45" s="253">
        <v>41</v>
      </c>
      <c r="B45" s="254" t="s">
        <v>232</v>
      </c>
      <c r="C45" s="254">
        <v>664400</v>
      </c>
      <c r="D45" s="236">
        <f t="shared" si="0"/>
        <v>665000</v>
      </c>
      <c r="E45" s="236">
        <f t="shared" si="1"/>
        <v>731000</v>
      </c>
      <c r="F45" s="236">
        <f t="shared" si="2"/>
        <v>870000</v>
      </c>
      <c r="G45" s="236">
        <f t="shared" si="3"/>
        <v>957000</v>
      </c>
      <c r="H45" s="236">
        <f t="shared" si="4"/>
        <v>1053000</v>
      </c>
      <c r="I45" s="255">
        <v>152000</v>
      </c>
      <c r="J45" s="256">
        <v>167000</v>
      </c>
    </row>
    <row r="46" spans="1:10">
      <c r="A46" s="253">
        <v>42</v>
      </c>
      <c r="B46" s="254" t="s">
        <v>893</v>
      </c>
      <c r="C46" s="254">
        <v>861300.00000000012</v>
      </c>
      <c r="D46" s="236">
        <f t="shared" si="0"/>
        <v>862000</v>
      </c>
      <c r="E46" s="236">
        <f t="shared" si="1"/>
        <v>948000</v>
      </c>
      <c r="F46" s="236">
        <f t="shared" si="2"/>
        <v>1128000</v>
      </c>
      <c r="G46" s="236">
        <f t="shared" si="3"/>
        <v>1241000</v>
      </c>
      <c r="H46" s="236">
        <f t="shared" si="4"/>
        <v>1365000</v>
      </c>
      <c r="I46" s="255">
        <v>152000</v>
      </c>
      <c r="J46" s="256">
        <v>167000</v>
      </c>
    </row>
    <row r="47" spans="1:10">
      <c r="A47" s="253">
        <v>43</v>
      </c>
      <c r="B47" s="254" t="s">
        <v>894</v>
      </c>
      <c r="C47" s="254">
        <v>861300.00000000012</v>
      </c>
      <c r="D47" s="236">
        <f t="shared" si="0"/>
        <v>862000</v>
      </c>
      <c r="E47" s="236">
        <f t="shared" si="1"/>
        <v>948000</v>
      </c>
      <c r="F47" s="236">
        <f t="shared" si="2"/>
        <v>1128000</v>
      </c>
      <c r="G47" s="236">
        <f t="shared" si="3"/>
        <v>1241000</v>
      </c>
      <c r="H47" s="236">
        <f t="shared" si="4"/>
        <v>1365000</v>
      </c>
      <c r="I47" s="255">
        <v>140000</v>
      </c>
      <c r="J47" s="256">
        <v>154000</v>
      </c>
    </row>
    <row r="48" spans="1:10">
      <c r="A48" s="253">
        <v>44</v>
      </c>
      <c r="B48" s="254" t="s">
        <v>895</v>
      </c>
      <c r="C48" s="254">
        <v>935000.00000000012</v>
      </c>
      <c r="D48" s="236">
        <f t="shared" si="0"/>
        <v>935000</v>
      </c>
      <c r="E48" s="236">
        <f t="shared" si="1"/>
        <v>1029000</v>
      </c>
      <c r="F48" s="236">
        <f t="shared" si="2"/>
        <v>1224000</v>
      </c>
      <c r="G48" s="236">
        <f t="shared" si="3"/>
        <v>1347000</v>
      </c>
      <c r="H48" s="236">
        <f t="shared" si="4"/>
        <v>1481000</v>
      </c>
      <c r="I48" s="255">
        <v>428000</v>
      </c>
      <c r="J48" s="256">
        <v>471000</v>
      </c>
    </row>
    <row r="49" spans="1:10">
      <c r="A49" s="253">
        <v>45</v>
      </c>
      <c r="B49" s="254" t="s">
        <v>896</v>
      </c>
      <c r="C49" s="254">
        <v>935000.00000000012</v>
      </c>
      <c r="D49" s="236">
        <f t="shared" si="0"/>
        <v>935000</v>
      </c>
      <c r="E49" s="236">
        <f t="shared" si="1"/>
        <v>1029000</v>
      </c>
      <c r="F49" s="236">
        <f t="shared" si="2"/>
        <v>1224000</v>
      </c>
      <c r="G49" s="236">
        <f t="shared" si="3"/>
        <v>1347000</v>
      </c>
      <c r="H49" s="236">
        <f t="shared" si="4"/>
        <v>1481000</v>
      </c>
      <c r="I49" s="255">
        <v>492000</v>
      </c>
      <c r="J49" s="256">
        <v>542000</v>
      </c>
    </row>
    <row r="50" spans="1:10">
      <c r="A50" s="253">
        <v>46</v>
      </c>
      <c r="B50" s="254" t="s">
        <v>897</v>
      </c>
      <c r="C50" s="254">
        <v>889900.00000000012</v>
      </c>
      <c r="D50" s="236">
        <f t="shared" si="0"/>
        <v>890000</v>
      </c>
      <c r="E50" s="236">
        <f t="shared" si="1"/>
        <v>979000</v>
      </c>
      <c r="F50" s="236">
        <f t="shared" si="2"/>
        <v>1165000</v>
      </c>
      <c r="G50" s="236">
        <f t="shared" si="3"/>
        <v>1282000</v>
      </c>
      <c r="H50" s="236">
        <f t="shared" si="4"/>
        <v>1410000</v>
      </c>
      <c r="I50" s="255">
        <v>131000</v>
      </c>
      <c r="J50" s="256">
        <v>144000</v>
      </c>
    </row>
    <row r="51" spans="1:10">
      <c r="A51" s="253">
        <v>47</v>
      </c>
      <c r="B51" s="254" t="s">
        <v>1501</v>
      </c>
      <c r="C51" s="254">
        <v>821700.00000000012</v>
      </c>
      <c r="D51" s="236">
        <f t="shared" si="0"/>
        <v>822000</v>
      </c>
      <c r="E51" s="236">
        <f t="shared" si="1"/>
        <v>904000</v>
      </c>
      <c r="F51" s="236">
        <f t="shared" si="2"/>
        <v>1076000</v>
      </c>
      <c r="G51" s="236">
        <f t="shared" si="3"/>
        <v>1184000</v>
      </c>
      <c r="H51" s="236">
        <f t="shared" si="4"/>
        <v>1302000</v>
      </c>
      <c r="I51" s="255">
        <v>131000</v>
      </c>
      <c r="J51" s="256">
        <v>144000</v>
      </c>
    </row>
    <row r="52" spans="1:10">
      <c r="A52" s="253">
        <v>48</v>
      </c>
      <c r="B52" s="254" t="s">
        <v>1502</v>
      </c>
      <c r="C52" s="254">
        <v>237600.00000000003</v>
      </c>
      <c r="D52" s="236">
        <f t="shared" si="0"/>
        <v>238000</v>
      </c>
      <c r="E52" s="236">
        <f t="shared" si="1"/>
        <v>262000</v>
      </c>
      <c r="F52" s="236">
        <f t="shared" si="2"/>
        <v>312000</v>
      </c>
      <c r="G52" s="236">
        <f t="shared" si="3"/>
        <v>343000</v>
      </c>
      <c r="H52" s="236">
        <f t="shared" si="4"/>
        <v>377000</v>
      </c>
      <c r="I52" s="255">
        <v>131000</v>
      </c>
      <c r="J52" s="256">
        <v>144000</v>
      </c>
    </row>
    <row r="53" spans="1:10">
      <c r="A53" s="253">
        <v>49</v>
      </c>
      <c r="B53" s="254" t="s">
        <v>1503</v>
      </c>
      <c r="C53" s="254">
        <v>162800</v>
      </c>
      <c r="D53" s="236">
        <f t="shared" si="0"/>
        <v>163000</v>
      </c>
      <c r="E53" s="236">
        <f t="shared" si="1"/>
        <v>180000</v>
      </c>
      <c r="F53" s="236">
        <f t="shared" si="2"/>
        <v>214000</v>
      </c>
      <c r="G53" s="236">
        <f t="shared" si="3"/>
        <v>235000</v>
      </c>
      <c r="H53" s="236">
        <f t="shared" si="4"/>
        <v>258000</v>
      </c>
      <c r="I53" s="255">
        <v>794000</v>
      </c>
      <c r="J53" s="256">
        <v>873000</v>
      </c>
    </row>
    <row r="54" spans="1:10">
      <c r="A54" s="253">
        <v>50</v>
      </c>
      <c r="B54" s="254" t="s">
        <v>188</v>
      </c>
      <c r="C54" s="254">
        <v>724900.00000000012</v>
      </c>
      <c r="D54" s="236">
        <f t="shared" si="0"/>
        <v>725000</v>
      </c>
      <c r="E54" s="236">
        <f t="shared" si="1"/>
        <v>798000</v>
      </c>
      <c r="F54" s="236">
        <f t="shared" si="2"/>
        <v>949000</v>
      </c>
      <c r="G54" s="236">
        <f t="shared" si="3"/>
        <v>1044000</v>
      </c>
      <c r="H54" s="236">
        <f t="shared" si="4"/>
        <v>1149000</v>
      </c>
      <c r="I54" s="255"/>
      <c r="J54" s="256"/>
    </row>
    <row r="55" spans="1:10">
      <c r="A55" s="253">
        <v>51</v>
      </c>
      <c r="B55" s="254" t="s">
        <v>189</v>
      </c>
      <c r="C55" s="254">
        <v>535700</v>
      </c>
      <c r="D55" s="236">
        <f t="shared" si="0"/>
        <v>536000</v>
      </c>
      <c r="E55" s="236">
        <f t="shared" si="1"/>
        <v>590000</v>
      </c>
      <c r="F55" s="236">
        <f t="shared" si="2"/>
        <v>702000</v>
      </c>
      <c r="G55" s="236">
        <f t="shared" si="3"/>
        <v>772000</v>
      </c>
      <c r="H55" s="236">
        <f t="shared" si="4"/>
        <v>849000</v>
      </c>
      <c r="I55" s="255">
        <v>190000</v>
      </c>
      <c r="J55" s="256">
        <v>209000</v>
      </c>
    </row>
    <row r="56" spans="1:10">
      <c r="A56" s="253">
        <v>52</v>
      </c>
      <c r="B56" s="254" t="s">
        <v>898</v>
      </c>
      <c r="C56" s="254">
        <v>209000.00000000003</v>
      </c>
      <c r="D56" s="236">
        <f t="shared" si="0"/>
        <v>209000</v>
      </c>
      <c r="E56" s="236">
        <f t="shared" si="1"/>
        <v>230000</v>
      </c>
      <c r="F56" s="236">
        <f t="shared" si="2"/>
        <v>274000</v>
      </c>
      <c r="G56" s="236">
        <f t="shared" si="3"/>
        <v>301000</v>
      </c>
      <c r="H56" s="236">
        <f t="shared" si="4"/>
        <v>332000</v>
      </c>
      <c r="I56" s="255">
        <v>253000</v>
      </c>
      <c r="J56" s="256">
        <v>278000</v>
      </c>
    </row>
    <row r="57" spans="1:10">
      <c r="A57" s="253">
        <v>53</v>
      </c>
      <c r="B57" s="254" t="s">
        <v>156</v>
      </c>
      <c r="C57" s="254">
        <v>343200</v>
      </c>
      <c r="D57" s="236">
        <f t="shared" si="0"/>
        <v>344000</v>
      </c>
      <c r="E57" s="236">
        <f t="shared" si="1"/>
        <v>378000</v>
      </c>
      <c r="F57" s="236">
        <f t="shared" si="2"/>
        <v>450000</v>
      </c>
      <c r="G57" s="236">
        <f t="shared" si="3"/>
        <v>495000</v>
      </c>
      <c r="H57" s="236">
        <f t="shared" si="4"/>
        <v>544000</v>
      </c>
      <c r="I57" s="255">
        <v>190000</v>
      </c>
      <c r="J57" s="256">
        <v>209000</v>
      </c>
    </row>
    <row r="58" spans="1:10">
      <c r="A58" s="253">
        <v>54</v>
      </c>
      <c r="B58" s="254" t="s">
        <v>899</v>
      </c>
      <c r="C58" s="254">
        <v>414700.00000000006</v>
      </c>
      <c r="D58" s="236">
        <f t="shared" si="0"/>
        <v>415000</v>
      </c>
      <c r="E58" s="236">
        <f t="shared" si="1"/>
        <v>457000</v>
      </c>
      <c r="F58" s="236">
        <f t="shared" si="2"/>
        <v>543000</v>
      </c>
      <c r="G58" s="236">
        <f t="shared" si="3"/>
        <v>598000</v>
      </c>
      <c r="H58" s="236">
        <f t="shared" si="4"/>
        <v>657000</v>
      </c>
      <c r="I58" s="255">
        <v>190000</v>
      </c>
      <c r="J58" s="256">
        <v>209000</v>
      </c>
    </row>
    <row r="59" spans="1:10">
      <c r="A59" s="253">
        <v>55</v>
      </c>
      <c r="B59" s="254" t="s">
        <v>900</v>
      </c>
      <c r="C59" s="254">
        <v>2043800.0000000002</v>
      </c>
      <c r="D59" s="236">
        <f t="shared" si="0"/>
        <v>2044000</v>
      </c>
      <c r="E59" s="236">
        <f t="shared" si="1"/>
        <v>2249000</v>
      </c>
      <c r="F59" s="236">
        <f t="shared" si="2"/>
        <v>2676000</v>
      </c>
      <c r="G59" s="236">
        <f t="shared" si="3"/>
        <v>2943000</v>
      </c>
      <c r="H59" s="236">
        <f t="shared" si="4"/>
        <v>3238000</v>
      </c>
      <c r="I59" s="255">
        <v>1559000</v>
      </c>
      <c r="J59" s="256">
        <v>1715000</v>
      </c>
    </row>
    <row r="60" spans="1:10">
      <c r="A60" s="253">
        <v>56</v>
      </c>
      <c r="B60" s="254" t="s">
        <v>901</v>
      </c>
      <c r="C60" s="254">
        <v>694100</v>
      </c>
      <c r="D60" s="236">
        <f t="shared" si="0"/>
        <v>695000</v>
      </c>
      <c r="E60" s="236">
        <f t="shared" si="1"/>
        <v>764000</v>
      </c>
      <c r="F60" s="236">
        <f t="shared" si="2"/>
        <v>909000</v>
      </c>
      <c r="G60" s="236">
        <f t="shared" si="3"/>
        <v>1000000</v>
      </c>
      <c r="H60" s="236">
        <f t="shared" si="4"/>
        <v>1100000</v>
      </c>
      <c r="I60" s="255">
        <v>1065000</v>
      </c>
      <c r="J60" s="256">
        <v>1172000</v>
      </c>
    </row>
    <row r="61" spans="1:10">
      <c r="A61" s="253">
        <v>57</v>
      </c>
      <c r="B61" s="254" t="s">
        <v>176</v>
      </c>
      <c r="C61" s="254">
        <v>94600.000000000015</v>
      </c>
      <c r="D61" s="236">
        <f t="shared" si="0"/>
        <v>95000</v>
      </c>
      <c r="E61" s="236">
        <f t="shared" si="1"/>
        <v>105000</v>
      </c>
      <c r="F61" s="236">
        <f t="shared" si="2"/>
        <v>124000</v>
      </c>
      <c r="G61" s="236">
        <f t="shared" si="3"/>
        <v>137000</v>
      </c>
      <c r="H61" s="236">
        <f t="shared" si="4"/>
        <v>150000</v>
      </c>
      <c r="I61" s="255">
        <v>1511000</v>
      </c>
      <c r="J61" s="256">
        <v>1662000</v>
      </c>
    </row>
    <row r="62" spans="1:10">
      <c r="A62" s="253">
        <v>58</v>
      </c>
      <c r="B62" s="254" t="s">
        <v>178</v>
      </c>
      <c r="C62" s="254">
        <v>270600</v>
      </c>
      <c r="D62" s="236">
        <f t="shared" si="0"/>
        <v>271000</v>
      </c>
      <c r="E62" s="236">
        <f t="shared" si="1"/>
        <v>298000</v>
      </c>
      <c r="F62" s="236">
        <f t="shared" si="2"/>
        <v>355000</v>
      </c>
      <c r="G62" s="236">
        <f t="shared" si="3"/>
        <v>390000</v>
      </c>
      <c r="H62" s="236">
        <f t="shared" si="4"/>
        <v>429000</v>
      </c>
      <c r="I62" s="255">
        <v>991000</v>
      </c>
      <c r="J62" s="256">
        <v>1090000</v>
      </c>
    </row>
    <row r="63" spans="1:10">
      <c r="A63" s="253">
        <v>59</v>
      </c>
      <c r="B63" s="254" t="s">
        <v>205</v>
      </c>
      <c r="C63" s="254">
        <v>686400</v>
      </c>
      <c r="D63" s="236">
        <f t="shared" si="0"/>
        <v>687000</v>
      </c>
      <c r="E63" s="236">
        <f t="shared" si="1"/>
        <v>756000</v>
      </c>
      <c r="F63" s="236">
        <f t="shared" si="2"/>
        <v>899000</v>
      </c>
      <c r="G63" s="236">
        <f t="shared" si="3"/>
        <v>989000</v>
      </c>
      <c r="H63" s="236">
        <f t="shared" si="4"/>
        <v>1088000</v>
      </c>
      <c r="I63" s="255">
        <v>901000</v>
      </c>
      <c r="J63" s="256">
        <v>991000</v>
      </c>
    </row>
    <row r="64" spans="1:10">
      <c r="A64" s="253">
        <v>60</v>
      </c>
      <c r="B64" s="254" t="s">
        <v>195</v>
      </c>
      <c r="C64" s="254">
        <v>753500.00000000012</v>
      </c>
      <c r="D64" s="236">
        <f t="shared" si="0"/>
        <v>754000</v>
      </c>
      <c r="E64" s="236">
        <f t="shared" si="1"/>
        <v>829000</v>
      </c>
      <c r="F64" s="236">
        <f t="shared" si="2"/>
        <v>987000</v>
      </c>
      <c r="G64" s="236">
        <f t="shared" si="3"/>
        <v>1085000</v>
      </c>
      <c r="H64" s="236">
        <f t="shared" si="4"/>
        <v>1194000</v>
      </c>
      <c r="I64" s="255">
        <v>3174000</v>
      </c>
      <c r="J64" s="256">
        <v>3492000</v>
      </c>
    </row>
    <row r="65" spans="1:10">
      <c r="A65" s="253">
        <v>61</v>
      </c>
      <c r="B65" s="254" t="s">
        <v>248</v>
      </c>
      <c r="C65" s="254">
        <v>1288100</v>
      </c>
      <c r="D65" s="236">
        <f t="shared" si="0"/>
        <v>1289000</v>
      </c>
      <c r="E65" s="236">
        <f t="shared" si="1"/>
        <v>1417000</v>
      </c>
      <c r="F65" s="236">
        <f t="shared" si="2"/>
        <v>1687000</v>
      </c>
      <c r="G65" s="236">
        <f t="shared" si="3"/>
        <v>1855000</v>
      </c>
      <c r="H65" s="236">
        <f t="shared" si="4"/>
        <v>2041000</v>
      </c>
      <c r="I65" s="255">
        <v>2186000</v>
      </c>
      <c r="J65" s="256">
        <v>2405000</v>
      </c>
    </row>
    <row r="66" spans="1:10">
      <c r="A66" s="253">
        <v>62</v>
      </c>
      <c r="B66" s="254" t="s">
        <v>271</v>
      </c>
      <c r="C66" s="254">
        <v>213400.00000000003</v>
      </c>
      <c r="D66" s="236">
        <f t="shared" si="0"/>
        <v>214000</v>
      </c>
      <c r="E66" s="236">
        <f t="shared" si="1"/>
        <v>235000</v>
      </c>
      <c r="F66" s="236">
        <f t="shared" si="2"/>
        <v>280000</v>
      </c>
      <c r="G66" s="236">
        <f t="shared" si="3"/>
        <v>308000</v>
      </c>
      <c r="H66" s="236">
        <f t="shared" si="4"/>
        <v>339000</v>
      </c>
      <c r="I66" s="255">
        <v>3646000</v>
      </c>
      <c r="J66" s="256">
        <v>4011000</v>
      </c>
    </row>
    <row r="67" spans="1:10">
      <c r="A67" s="253">
        <v>63</v>
      </c>
      <c r="B67" s="254" t="s">
        <v>162</v>
      </c>
      <c r="C67" s="254">
        <v>491700.00000000006</v>
      </c>
      <c r="D67" s="236">
        <f t="shared" si="0"/>
        <v>492000</v>
      </c>
      <c r="E67" s="236">
        <f t="shared" si="1"/>
        <v>541000</v>
      </c>
      <c r="F67" s="236">
        <f t="shared" si="2"/>
        <v>644000</v>
      </c>
      <c r="G67" s="236">
        <f t="shared" si="3"/>
        <v>708000</v>
      </c>
      <c r="H67" s="236">
        <f t="shared" si="4"/>
        <v>779000</v>
      </c>
      <c r="I67" s="255">
        <v>1067000</v>
      </c>
      <c r="J67" s="256">
        <v>1174000</v>
      </c>
    </row>
    <row r="68" spans="1:10">
      <c r="A68" s="253">
        <v>64</v>
      </c>
      <c r="B68" s="254" t="s">
        <v>902</v>
      </c>
      <c r="C68" s="254">
        <v>2453000</v>
      </c>
      <c r="D68" s="236">
        <f t="shared" si="0"/>
        <v>2453000</v>
      </c>
      <c r="E68" s="236">
        <f t="shared" si="1"/>
        <v>2699000</v>
      </c>
      <c r="F68" s="236">
        <f t="shared" si="2"/>
        <v>3211000</v>
      </c>
      <c r="G68" s="236">
        <f t="shared" si="3"/>
        <v>3533000</v>
      </c>
      <c r="H68" s="236">
        <f t="shared" si="4"/>
        <v>3886000</v>
      </c>
      <c r="I68" s="255">
        <v>1608000</v>
      </c>
      <c r="J68" s="256">
        <v>1769000</v>
      </c>
    </row>
    <row r="69" spans="1:10">
      <c r="A69" s="253">
        <v>65</v>
      </c>
      <c r="B69" s="254" t="s">
        <v>1504</v>
      </c>
      <c r="C69" s="254">
        <v>871200.00000000012</v>
      </c>
      <c r="D69" s="236">
        <f t="shared" si="0"/>
        <v>872000</v>
      </c>
      <c r="E69" s="236">
        <f t="shared" si="1"/>
        <v>959000</v>
      </c>
      <c r="F69" s="236">
        <f t="shared" si="2"/>
        <v>1141000</v>
      </c>
      <c r="G69" s="236">
        <f t="shared" si="3"/>
        <v>1255000</v>
      </c>
      <c r="H69" s="236">
        <f t="shared" si="4"/>
        <v>1380000</v>
      </c>
      <c r="I69" s="255"/>
      <c r="J69" s="256"/>
    </row>
    <row r="70" spans="1:10">
      <c r="A70" s="253">
        <v>66</v>
      </c>
      <c r="B70" s="254" t="s">
        <v>1505</v>
      </c>
      <c r="C70" s="254">
        <v>1296900</v>
      </c>
      <c r="D70" s="236">
        <f t="shared" ref="D70:D133" si="5">ROUNDUP(C70,-3)</f>
        <v>1297000</v>
      </c>
      <c r="E70" s="236">
        <f t="shared" ref="E70:E133" si="6">ROUNDUP($C70*1.1,-3)</f>
        <v>1427000</v>
      </c>
      <c r="F70" s="236">
        <f t="shared" ref="F70:F133" si="7">ROUNDUP($C70*1.1*1.19,-3)</f>
        <v>1698000</v>
      </c>
      <c r="G70" s="236">
        <f t="shared" ref="G70:G133" si="8">ROUNDUP($C70*1.1*1.19*1.1,-3)</f>
        <v>1868000</v>
      </c>
      <c r="H70" s="236">
        <f t="shared" ref="H70:H133" si="9">ROUNDUP($C70*1.1*1.19*1.1*1.1,-3)</f>
        <v>2055000</v>
      </c>
      <c r="I70" s="255">
        <v>985000</v>
      </c>
      <c r="J70" s="256">
        <v>1083000</v>
      </c>
    </row>
    <row r="71" spans="1:10">
      <c r="A71" s="253">
        <v>67</v>
      </c>
      <c r="B71" s="254" t="s">
        <v>1506</v>
      </c>
      <c r="C71" s="254">
        <v>1821600.0000000002</v>
      </c>
      <c r="D71" s="236">
        <f t="shared" si="5"/>
        <v>1822000</v>
      </c>
      <c r="E71" s="236">
        <f t="shared" si="6"/>
        <v>2004000</v>
      </c>
      <c r="F71" s="236">
        <f t="shared" si="7"/>
        <v>2385000</v>
      </c>
      <c r="G71" s="236">
        <f t="shared" si="8"/>
        <v>2623000</v>
      </c>
      <c r="H71" s="236">
        <f t="shared" si="9"/>
        <v>2886000</v>
      </c>
      <c r="I71" s="255">
        <v>317000</v>
      </c>
      <c r="J71" s="256">
        <v>348000</v>
      </c>
    </row>
    <row r="72" spans="1:10">
      <c r="A72" s="253">
        <v>68</v>
      </c>
      <c r="B72" s="254" t="s">
        <v>166</v>
      </c>
      <c r="C72" s="254">
        <v>94600.000000000015</v>
      </c>
      <c r="D72" s="236">
        <f t="shared" si="5"/>
        <v>95000</v>
      </c>
      <c r="E72" s="236">
        <f t="shared" si="6"/>
        <v>105000</v>
      </c>
      <c r="F72" s="236">
        <f t="shared" si="7"/>
        <v>124000</v>
      </c>
      <c r="G72" s="236">
        <f t="shared" si="8"/>
        <v>137000</v>
      </c>
      <c r="H72" s="236">
        <f t="shared" si="9"/>
        <v>150000</v>
      </c>
      <c r="I72" s="255">
        <v>1109000</v>
      </c>
      <c r="J72" s="256">
        <v>1219000</v>
      </c>
    </row>
    <row r="73" spans="1:10">
      <c r="A73" s="253">
        <v>69</v>
      </c>
      <c r="B73" s="254" t="s">
        <v>167</v>
      </c>
      <c r="C73" s="254">
        <v>94600.000000000015</v>
      </c>
      <c r="D73" s="236">
        <f t="shared" si="5"/>
        <v>95000</v>
      </c>
      <c r="E73" s="236">
        <f t="shared" si="6"/>
        <v>105000</v>
      </c>
      <c r="F73" s="236">
        <f t="shared" si="7"/>
        <v>124000</v>
      </c>
      <c r="G73" s="236">
        <f t="shared" si="8"/>
        <v>137000</v>
      </c>
      <c r="H73" s="236">
        <f t="shared" si="9"/>
        <v>150000</v>
      </c>
      <c r="I73" s="255">
        <v>403000</v>
      </c>
      <c r="J73" s="256">
        <v>444000</v>
      </c>
    </row>
    <row r="74" spans="1:10">
      <c r="A74" s="253">
        <v>70</v>
      </c>
      <c r="B74" s="254" t="s">
        <v>168</v>
      </c>
      <c r="C74" s="254">
        <v>288200</v>
      </c>
      <c r="D74" s="236">
        <f t="shared" si="5"/>
        <v>289000</v>
      </c>
      <c r="E74" s="236">
        <f t="shared" si="6"/>
        <v>318000</v>
      </c>
      <c r="F74" s="236">
        <f t="shared" si="7"/>
        <v>378000</v>
      </c>
      <c r="G74" s="236">
        <f t="shared" si="8"/>
        <v>415000</v>
      </c>
      <c r="H74" s="236">
        <f t="shared" si="9"/>
        <v>457000</v>
      </c>
      <c r="I74" s="255">
        <v>1528000</v>
      </c>
      <c r="J74" s="256">
        <v>1681000</v>
      </c>
    </row>
    <row r="75" spans="1:10">
      <c r="A75" s="253">
        <v>71</v>
      </c>
      <c r="B75" s="254" t="s">
        <v>169</v>
      </c>
      <c r="C75" s="254">
        <v>103400.00000000001</v>
      </c>
      <c r="D75" s="236">
        <f t="shared" si="5"/>
        <v>104000</v>
      </c>
      <c r="E75" s="236">
        <f t="shared" si="6"/>
        <v>114000</v>
      </c>
      <c r="F75" s="236">
        <f t="shared" si="7"/>
        <v>136000</v>
      </c>
      <c r="G75" s="236">
        <f t="shared" si="8"/>
        <v>149000</v>
      </c>
      <c r="H75" s="236">
        <f t="shared" si="9"/>
        <v>164000</v>
      </c>
      <c r="I75" s="255">
        <v>774000</v>
      </c>
      <c r="J75" s="256">
        <v>851000</v>
      </c>
    </row>
    <row r="76" spans="1:10">
      <c r="A76" s="253">
        <v>72</v>
      </c>
      <c r="B76" s="254" t="s">
        <v>1507</v>
      </c>
      <c r="C76" s="254">
        <v>88000</v>
      </c>
      <c r="D76" s="236">
        <f t="shared" si="5"/>
        <v>88000</v>
      </c>
      <c r="E76" s="236">
        <f t="shared" si="6"/>
        <v>97000</v>
      </c>
      <c r="F76" s="236">
        <f t="shared" si="7"/>
        <v>116000</v>
      </c>
      <c r="G76" s="236">
        <f t="shared" si="8"/>
        <v>127000</v>
      </c>
      <c r="H76" s="236">
        <f t="shared" si="9"/>
        <v>140000</v>
      </c>
      <c r="I76" s="255">
        <v>329000</v>
      </c>
      <c r="J76" s="256">
        <v>362000</v>
      </c>
    </row>
    <row r="77" spans="1:10">
      <c r="A77" s="253">
        <v>73</v>
      </c>
      <c r="B77" s="254" t="s">
        <v>1508</v>
      </c>
      <c r="C77" s="254">
        <v>1247400</v>
      </c>
      <c r="D77" s="236">
        <f t="shared" si="5"/>
        <v>1248000</v>
      </c>
      <c r="E77" s="236">
        <f t="shared" si="6"/>
        <v>1373000</v>
      </c>
      <c r="F77" s="236">
        <f t="shared" si="7"/>
        <v>1633000</v>
      </c>
      <c r="G77" s="236">
        <f t="shared" si="8"/>
        <v>1797000</v>
      </c>
      <c r="H77" s="236">
        <f t="shared" si="9"/>
        <v>1976000</v>
      </c>
      <c r="I77" s="255">
        <v>790000</v>
      </c>
      <c r="J77" s="256">
        <v>869000</v>
      </c>
    </row>
    <row r="78" spans="1:10">
      <c r="A78" s="253">
        <v>74</v>
      </c>
      <c r="B78" s="254" t="s">
        <v>1509</v>
      </c>
      <c r="C78" s="254">
        <v>1247400</v>
      </c>
      <c r="D78" s="236">
        <f t="shared" si="5"/>
        <v>1248000</v>
      </c>
      <c r="E78" s="236">
        <f t="shared" si="6"/>
        <v>1373000</v>
      </c>
      <c r="F78" s="236">
        <f t="shared" si="7"/>
        <v>1633000</v>
      </c>
      <c r="G78" s="236">
        <f t="shared" si="8"/>
        <v>1797000</v>
      </c>
      <c r="H78" s="236">
        <f t="shared" si="9"/>
        <v>1976000</v>
      </c>
      <c r="I78" s="255">
        <v>1364000</v>
      </c>
      <c r="J78" s="256">
        <v>1500000</v>
      </c>
    </row>
    <row r="79" spans="1:10">
      <c r="A79" s="253">
        <v>75</v>
      </c>
      <c r="B79" s="254" t="s">
        <v>265</v>
      </c>
      <c r="C79" s="254">
        <v>1932700.0000000002</v>
      </c>
      <c r="D79" s="236">
        <f t="shared" si="5"/>
        <v>1933000</v>
      </c>
      <c r="E79" s="236">
        <f t="shared" si="6"/>
        <v>2126000</v>
      </c>
      <c r="F79" s="236">
        <f t="shared" si="7"/>
        <v>2530000</v>
      </c>
      <c r="G79" s="236">
        <f t="shared" si="8"/>
        <v>2783000</v>
      </c>
      <c r="H79" s="236">
        <f t="shared" si="9"/>
        <v>3062000</v>
      </c>
      <c r="I79" s="255">
        <v>1167000</v>
      </c>
      <c r="J79" s="256">
        <v>1283000</v>
      </c>
    </row>
    <row r="80" spans="1:10">
      <c r="A80" s="253">
        <v>76</v>
      </c>
      <c r="B80" s="254" t="s">
        <v>266</v>
      </c>
      <c r="C80" s="254">
        <v>1677500.0000000002</v>
      </c>
      <c r="D80" s="236">
        <f t="shared" si="5"/>
        <v>1678000</v>
      </c>
      <c r="E80" s="236">
        <f t="shared" si="6"/>
        <v>1846000</v>
      </c>
      <c r="F80" s="236">
        <f t="shared" si="7"/>
        <v>2196000</v>
      </c>
      <c r="G80" s="236">
        <f t="shared" si="8"/>
        <v>2416000</v>
      </c>
      <c r="H80" s="236">
        <f t="shared" si="9"/>
        <v>2657000</v>
      </c>
      <c r="I80" s="255">
        <v>387000</v>
      </c>
      <c r="J80" s="256">
        <v>426000</v>
      </c>
    </row>
    <row r="81" spans="1:10">
      <c r="A81" s="253">
        <v>77</v>
      </c>
      <c r="B81" s="254" t="s">
        <v>267</v>
      </c>
      <c r="C81" s="254">
        <v>1548800.0000000002</v>
      </c>
      <c r="D81" s="236">
        <f t="shared" si="5"/>
        <v>1549000</v>
      </c>
      <c r="E81" s="236">
        <f t="shared" si="6"/>
        <v>1704000</v>
      </c>
      <c r="F81" s="236">
        <f t="shared" si="7"/>
        <v>2028000</v>
      </c>
      <c r="G81" s="236">
        <f t="shared" si="8"/>
        <v>2231000</v>
      </c>
      <c r="H81" s="236">
        <f t="shared" si="9"/>
        <v>2454000</v>
      </c>
      <c r="I81" s="255">
        <v>557000</v>
      </c>
      <c r="J81" s="256">
        <v>612000</v>
      </c>
    </row>
    <row r="82" spans="1:10">
      <c r="A82" s="253">
        <v>78</v>
      </c>
      <c r="B82" s="237" t="s">
        <v>197</v>
      </c>
      <c r="C82" s="254">
        <v>640000</v>
      </c>
      <c r="D82" s="236">
        <f t="shared" si="5"/>
        <v>640000</v>
      </c>
      <c r="E82" s="236">
        <f t="shared" si="6"/>
        <v>704000</v>
      </c>
      <c r="F82" s="236">
        <f t="shared" si="7"/>
        <v>838000</v>
      </c>
      <c r="G82" s="236">
        <f t="shared" si="8"/>
        <v>922000</v>
      </c>
      <c r="H82" s="236">
        <f t="shared" si="9"/>
        <v>1014000</v>
      </c>
      <c r="I82" s="255">
        <v>476000</v>
      </c>
      <c r="J82" s="256">
        <v>524000</v>
      </c>
    </row>
    <row r="83" spans="1:10">
      <c r="A83" s="253">
        <v>79</v>
      </c>
      <c r="B83" s="254" t="s">
        <v>196</v>
      </c>
      <c r="C83" s="254">
        <v>256300.00000000003</v>
      </c>
      <c r="D83" s="236">
        <f t="shared" si="5"/>
        <v>257000</v>
      </c>
      <c r="E83" s="236">
        <f t="shared" si="6"/>
        <v>282000</v>
      </c>
      <c r="F83" s="236">
        <f t="shared" si="7"/>
        <v>336000</v>
      </c>
      <c r="G83" s="236">
        <f t="shared" si="8"/>
        <v>370000</v>
      </c>
      <c r="H83" s="236">
        <f t="shared" si="9"/>
        <v>406000</v>
      </c>
      <c r="I83" s="255">
        <v>572000</v>
      </c>
      <c r="J83" s="256">
        <v>629000</v>
      </c>
    </row>
    <row r="84" spans="1:10">
      <c r="A84" s="253">
        <v>80</v>
      </c>
      <c r="B84" s="254" t="s">
        <v>907</v>
      </c>
      <c r="C84" s="254">
        <v>404800.00000000006</v>
      </c>
      <c r="D84" s="236">
        <f t="shared" si="5"/>
        <v>405000</v>
      </c>
      <c r="E84" s="236">
        <f t="shared" si="6"/>
        <v>446000</v>
      </c>
      <c r="F84" s="236">
        <f t="shared" si="7"/>
        <v>530000</v>
      </c>
      <c r="G84" s="236">
        <f t="shared" si="8"/>
        <v>583000</v>
      </c>
      <c r="H84" s="236">
        <f t="shared" si="9"/>
        <v>642000</v>
      </c>
      <c r="I84" s="255">
        <v>3449000</v>
      </c>
      <c r="J84" s="256">
        <v>3794000</v>
      </c>
    </row>
    <row r="85" spans="1:10">
      <c r="A85" s="253">
        <v>81</v>
      </c>
      <c r="B85" s="254" t="s">
        <v>908</v>
      </c>
      <c r="C85" s="254">
        <v>3353900.0000000005</v>
      </c>
      <c r="D85" s="236">
        <f t="shared" si="5"/>
        <v>3354000</v>
      </c>
      <c r="E85" s="236">
        <f t="shared" si="6"/>
        <v>3690000</v>
      </c>
      <c r="F85" s="236">
        <f t="shared" si="7"/>
        <v>4391000</v>
      </c>
      <c r="G85" s="236">
        <f t="shared" si="8"/>
        <v>4830000</v>
      </c>
      <c r="H85" s="236">
        <f t="shared" si="9"/>
        <v>5313000</v>
      </c>
      <c r="I85" s="255">
        <v>2627000</v>
      </c>
      <c r="J85" s="256">
        <v>2890000</v>
      </c>
    </row>
    <row r="86" spans="1:10">
      <c r="A86" s="253">
        <v>82</v>
      </c>
      <c r="B86" s="254" t="s">
        <v>233</v>
      </c>
      <c r="C86" s="254">
        <v>889900.00000000012</v>
      </c>
      <c r="D86" s="236">
        <f t="shared" si="5"/>
        <v>890000</v>
      </c>
      <c r="E86" s="236">
        <f t="shared" si="6"/>
        <v>979000</v>
      </c>
      <c r="F86" s="236">
        <f t="shared" si="7"/>
        <v>1165000</v>
      </c>
      <c r="G86" s="236">
        <f t="shared" si="8"/>
        <v>1282000</v>
      </c>
      <c r="H86" s="236">
        <f t="shared" si="9"/>
        <v>1410000</v>
      </c>
      <c r="I86" s="255">
        <v>14673000</v>
      </c>
      <c r="J86" s="256">
        <v>16140000</v>
      </c>
    </row>
    <row r="87" spans="1:10">
      <c r="A87" s="253">
        <v>83</v>
      </c>
      <c r="B87" s="254" t="s">
        <v>909</v>
      </c>
      <c r="C87" s="254">
        <v>742500.00000000012</v>
      </c>
      <c r="D87" s="236">
        <f t="shared" si="5"/>
        <v>743000</v>
      </c>
      <c r="E87" s="236">
        <f t="shared" si="6"/>
        <v>817000</v>
      </c>
      <c r="F87" s="236">
        <f t="shared" si="7"/>
        <v>972000</v>
      </c>
      <c r="G87" s="236">
        <f t="shared" si="8"/>
        <v>1070000</v>
      </c>
      <c r="H87" s="236">
        <f t="shared" si="9"/>
        <v>1177000</v>
      </c>
      <c r="I87" s="255">
        <v>702000</v>
      </c>
      <c r="J87" s="256">
        <v>772000</v>
      </c>
    </row>
    <row r="88" spans="1:10">
      <c r="A88" s="253">
        <v>84</v>
      </c>
      <c r="B88" s="254" t="s">
        <v>261</v>
      </c>
      <c r="C88" s="254">
        <v>770000.00000000012</v>
      </c>
      <c r="D88" s="236">
        <f t="shared" si="5"/>
        <v>770000</v>
      </c>
      <c r="E88" s="236">
        <f t="shared" si="6"/>
        <v>847000</v>
      </c>
      <c r="F88" s="236">
        <f t="shared" si="7"/>
        <v>1008000</v>
      </c>
      <c r="G88" s="236">
        <f t="shared" si="8"/>
        <v>1109000</v>
      </c>
      <c r="H88" s="236">
        <f t="shared" si="9"/>
        <v>1220000</v>
      </c>
      <c r="I88" s="255">
        <v>2293000</v>
      </c>
      <c r="J88" s="256">
        <v>2522000</v>
      </c>
    </row>
    <row r="89" spans="1:10">
      <c r="A89" s="253">
        <v>85</v>
      </c>
      <c r="B89" s="254" t="s">
        <v>186</v>
      </c>
      <c r="C89" s="254">
        <v>119900.00000000001</v>
      </c>
      <c r="D89" s="236">
        <f t="shared" si="5"/>
        <v>120000</v>
      </c>
      <c r="E89" s="236">
        <f t="shared" si="6"/>
        <v>132000</v>
      </c>
      <c r="F89" s="236">
        <f t="shared" si="7"/>
        <v>157000</v>
      </c>
      <c r="G89" s="236">
        <f t="shared" si="8"/>
        <v>173000</v>
      </c>
      <c r="H89" s="236">
        <f t="shared" si="9"/>
        <v>190000</v>
      </c>
      <c r="I89" s="255">
        <v>1730000</v>
      </c>
      <c r="J89" s="256">
        <v>1903000</v>
      </c>
    </row>
    <row r="90" spans="1:10">
      <c r="A90" s="253">
        <v>86</v>
      </c>
      <c r="B90" s="254" t="s">
        <v>910</v>
      </c>
      <c r="C90" s="254">
        <v>409200.00000000006</v>
      </c>
      <c r="D90" s="236">
        <f t="shared" si="5"/>
        <v>410000</v>
      </c>
      <c r="E90" s="236">
        <f t="shared" si="6"/>
        <v>451000</v>
      </c>
      <c r="F90" s="236">
        <f t="shared" si="7"/>
        <v>536000</v>
      </c>
      <c r="G90" s="236">
        <f t="shared" si="8"/>
        <v>590000</v>
      </c>
      <c r="H90" s="236">
        <f t="shared" si="9"/>
        <v>649000</v>
      </c>
      <c r="I90" s="255">
        <v>3607000</v>
      </c>
      <c r="J90" s="256">
        <v>3968000</v>
      </c>
    </row>
    <row r="91" spans="1:10">
      <c r="A91" s="253">
        <v>87</v>
      </c>
      <c r="B91" s="254" t="s">
        <v>190</v>
      </c>
      <c r="C91" s="254">
        <v>884400.00000000012</v>
      </c>
      <c r="D91" s="236">
        <f t="shared" si="5"/>
        <v>885000</v>
      </c>
      <c r="E91" s="236">
        <f t="shared" si="6"/>
        <v>973000</v>
      </c>
      <c r="F91" s="236">
        <f t="shared" si="7"/>
        <v>1158000</v>
      </c>
      <c r="G91" s="236">
        <f t="shared" si="8"/>
        <v>1274000</v>
      </c>
      <c r="H91" s="236">
        <f t="shared" si="9"/>
        <v>1401000</v>
      </c>
      <c r="I91" s="255">
        <v>2610000</v>
      </c>
      <c r="J91" s="256">
        <v>2871000</v>
      </c>
    </row>
    <row r="92" spans="1:10">
      <c r="A92" s="253">
        <v>88</v>
      </c>
      <c r="B92" s="254" t="s">
        <v>258</v>
      </c>
      <c r="C92" s="254">
        <v>213400.00000000003</v>
      </c>
      <c r="D92" s="236">
        <f t="shared" si="5"/>
        <v>214000</v>
      </c>
      <c r="E92" s="236">
        <f t="shared" si="6"/>
        <v>235000</v>
      </c>
      <c r="F92" s="236">
        <f t="shared" si="7"/>
        <v>280000</v>
      </c>
      <c r="G92" s="236">
        <f t="shared" si="8"/>
        <v>308000</v>
      </c>
      <c r="H92" s="236">
        <f t="shared" si="9"/>
        <v>339000</v>
      </c>
      <c r="I92" s="255">
        <v>2610000</v>
      </c>
      <c r="J92" s="256">
        <v>2871000</v>
      </c>
    </row>
    <row r="93" spans="1:10">
      <c r="A93" s="253">
        <v>89</v>
      </c>
      <c r="B93" s="254" t="s">
        <v>147</v>
      </c>
      <c r="C93" s="254">
        <v>1056000</v>
      </c>
      <c r="D93" s="236">
        <f t="shared" si="5"/>
        <v>1056000</v>
      </c>
      <c r="E93" s="236">
        <f t="shared" si="6"/>
        <v>1162000</v>
      </c>
      <c r="F93" s="236">
        <f t="shared" si="7"/>
        <v>1383000</v>
      </c>
      <c r="G93" s="236">
        <f t="shared" si="8"/>
        <v>1521000</v>
      </c>
      <c r="H93" s="236">
        <f t="shared" si="9"/>
        <v>1673000</v>
      </c>
      <c r="I93" s="255"/>
      <c r="J93" s="256"/>
    </row>
    <row r="94" spans="1:10">
      <c r="A94" s="253">
        <v>90</v>
      </c>
      <c r="B94" s="254" t="s">
        <v>249</v>
      </c>
      <c r="C94" s="254">
        <v>1469600.0000000002</v>
      </c>
      <c r="D94" s="236">
        <f t="shared" si="5"/>
        <v>1470000</v>
      </c>
      <c r="E94" s="236">
        <f t="shared" si="6"/>
        <v>1617000</v>
      </c>
      <c r="F94" s="236">
        <f t="shared" si="7"/>
        <v>1924000</v>
      </c>
      <c r="G94" s="236">
        <f t="shared" si="8"/>
        <v>2117000</v>
      </c>
      <c r="H94" s="236">
        <f t="shared" si="9"/>
        <v>2328000</v>
      </c>
      <c r="I94" s="255">
        <v>2793000</v>
      </c>
      <c r="J94" s="256">
        <v>3072000</v>
      </c>
    </row>
    <row r="95" spans="1:10">
      <c r="A95" s="253">
        <v>91</v>
      </c>
      <c r="B95" s="254" t="s">
        <v>1510</v>
      </c>
      <c r="C95" s="254">
        <v>3049200.0000000005</v>
      </c>
      <c r="D95" s="236">
        <f t="shared" si="5"/>
        <v>3050000</v>
      </c>
      <c r="E95" s="236">
        <f t="shared" si="6"/>
        <v>3355000</v>
      </c>
      <c r="F95" s="236">
        <f t="shared" si="7"/>
        <v>3992000</v>
      </c>
      <c r="G95" s="236">
        <f t="shared" si="8"/>
        <v>4391000</v>
      </c>
      <c r="H95" s="236">
        <f t="shared" si="9"/>
        <v>4830000</v>
      </c>
      <c r="I95" s="255">
        <v>2896000</v>
      </c>
      <c r="J95" s="256">
        <v>3185000</v>
      </c>
    </row>
    <row r="96" spans="1:10">
      <c r="A96" s="253">
        <v>92</v>
      </c>
      <c r="B96" s="254" t="s">
        <v>1511</v>
      </c>
      <c r="C96" s="254">
        <v>1163800</v>
      </c>
      <c r="D96" s="236">
        <f t="shared" si="5"/>
        <v>1164000</v>
      </c>
      <c r="E96" s="236">
        <f t="shared" si="6"/>
        <v>1281000</v>
      </c>
      <c r="F96" s="236">
        <f t="shared" si="7"/>
        <v>1524000</v>
      </c>
      <c r="G96" s="236">
        <f t="shared" si="8"/>
        <v>1676000</v>
      </c>
      <c r="H96" s="236">
        <f t="shared" si="9"/>
        <v>1844000</v>
      </c>
      <c r="I96" s="255">
        <v>2610000</v>
      </c>
      <c r="J96" s="256">
        <v>2871000</v>
      </c>
    </row>
    <row r="97" spans="1:10">
      <c r="A97" s="253">
        <v>93</v>
      </c>
      <c r="B97" s="254" t="s">
        <v>1512</v>
      </c>
      <c r="C97" s="254">
        <v>1161600</v>
      </c>
      <c r="D97" s="236">
        <f t="shared" si="5"/>
        <v>1162000</v>
      </c>
      <c r="E97" s="236">
        <f t="shared" si="6"/>
        <v>1278000</v>
      </c>
      <c r="F97" s="236">
        <f t="shared" si="7"/>
        <v>1521000</v>
      </c>
      <c r="G97" s="236">
        <f t="shared" si="8"/>
        <v>1673000</v>
      </c>
      <c r="H97" s="236">
        <f t="shared" si="9"/>
        <v>1840000</v>
      </c>
      <c r="I97" s="255">
        <v>3054000</v>
      </c>
      <c r="J97" s="256">
        <v>3359000</v>
      </c>
    </row>
    <row r="98" spans="1:10">
      <c r="A98" s="253">
        <v>94</v>
      </c>
      <c r="B98" s="254" t="s">
        <v>1513</v>
      </c>
      <c r="C98" s="254">
        <v>1163800</v>
      </c>
      <c r="D98" s="236">
        <f t="shared" si="5"/>
        <v>1164000</v>
      </c>
      <c r="E98" s="236">
        <f t="shared" si="6"/>
        <v>1281000</v>
      </c>
      <c r="F98" s="236">
        <f t="shared" si="7"/>
        <v>1524000</v>
      </c>
      <c r="G98" s="236">
        <f t="shared" si="8"/>
        <v>1676000</v>
      </c>
      <c r="H98" s="236">
        <f t="shared" si="9"/>
        <v>1844000</v>
      </c>
      <c r="I98" s="255">
        <v>2460000</v>
      </c>
      <c r="J98" s="256">
        <v>2706000</v>
      </c>
    </row>
    <row r="99" spans="1:10">
      <c r="A99" s="253">
        <v>95</v>
      </c>
      <c r="B99" s="254" t="s">
        <v>191</v>
      </c>
      <c r="C99" s="254">
        <v>625900</v>
      </c>
      <c r="D99" s="236">
        <f t="shared" si="5"/>
        <v>626000</v>
      </c>
      <c r="E99" s="236">
        <f t="shared" si="6"/>
        <v>689000</v>
      </c>
      <c r="F99" s="236">
        <f t="shared" si="7"/>
        <v>820000</v>
      </c>
      <c r="G99" s="236">
        <f t="shared" si="8"/>
        <v>902000</v>
      </c>
      <c r="H99" s="236">
        <f t="shared" si="9"/>
        <v>992000</v>
      </c>
      <c r="I99" s="255">
        <v>2460000</v>
      </c>
      <c r="J99" s="256">
        <v>2706000</v>
      </c>
    </row>
    <row r="100" spans="1:10">
      <c r="A100" s="253">
        <v>96</v>
      </c>
      <c r="B100" s="254" t="s">
        <v>177</v>
      </c>
      <c r="C100" s="254">
        <v>88000</v>
      </c>
      <c r="D100" s="236">
        <f t="shared" si="5"/>
        <v>88000</v>
      </c>
      <c r="E100" s="236">
        <f t="shared" si="6"/>
        <v>97000</v>
      </c>
      <c r="F100" s="236">
        <f t="shared" si="7"/>
        <v>116000</v>
      </c>
      <c r="G100" s="236">
        <f t="shared" si="8"/>
        <v>127000</v>
      </c>
      <c r="H100" s="236">
        <f t="shared" si="9"/>
        <v>140000</v>
      </c>
      <c r="I100" s="255">
        <v>2230000</v>
      </c>
      <c r="J100" s="256">
        <v>2452000</v>
      </c>
    </row>
    <row r="101" spans="1:10">
      <c r="A101" s="253">
        <v>97</v>
      </c>
      <c r="B101" s="254" t="s">
        <v>175</v>
      </c>
      <c r="C101" s="254">
        <v>95700.000000000015</v>
      </c>
      <c r="D101" s="236">
        <f t="shared" si="5"/>
        <v>96000</v>
      </c>
      <c r="E101" s="236">
        <f t="shared" si="6"/>
        <v>106000</v>
      </c>
      <c r="F101" s="236">
        <f t="shared" si="7"/>
        <v>126000</v>
      </c>
      <c r="G101" s="236">
        <f t="shared" si="8"/>
        <v>138000</v>
      </c>
      <c r="H101" s="236">
        <f t="shared" si="9"/>
        <v>152000</v>
      </c>
      <c r="I101" s="255">
        <v>2228000</v>
      </c>
      <c r="J101" s="256">
        <v>2450000</v>
      </c>
    </row>
    <row r="102" spans="1:10">
      <c r="A102" s="253">
        <v>98</v>
      </c>
      <c r="B102" s="254" t="s">
        <v>179</v>
      </c>
      <c r="C102" s="254">
        <v>311300</v>
      </c>
      <c r="D102" s="236">
        <f t="shared" si="5"/>
        <v>312000</v>
      </c>
      <c r="E102" s="236">
        <f t="shared" si="6"/>
        <v>343000</v>
      </c>
      <c r="F102" s="236">
        <f t="shared" si="7"/>
        <v>408000</v>
      </c>
      <c r="G102" s="236">
        <f t="shared" si="8"/>
        <v>449000</v>
      </c>
      <c r="H102" s="236">
        <f t="shared" si="9"/>
        <v>494000</v>
      </c>
      <c r="I102" s="255">
        <v>2204000</v>
      </c>
      <c r="J102" s="256">
        <v>2425000</v>
      </c>
    </row>
    <row r="103" spans="1:10">
      <c r="A103" s="253">
        <v>99</v>
      </c>
      <c r="B103" s="254" t="s">
        <v>912</v>
      </c>
      <c r="C103" s="254">
        <v>226600.00000000003</v>
      </c>
      <c r="D103" s="236">
        <f t="shared" si="5"/>
        <v>227000</v>
      </c>
      <c r="E103" s="236">
        <f t="shared" si="6"/>
        <v>250000</v>
      </c>
      <c r="F103" s="236">
        <f t="shared" si="7"/>
        <v>297000</v>
      </c>
      <c r="G103" s="236">
        <f t="shared" si="8"/>
        <v>327000</v>
      </c>
      <c r="H103" s="236">
        <f t="shared" si="9"/>
        <v>359000</v>
      </c>
      <c r="I103" s="255">
        <v>2217000</v>
      </c>
      <c r="J103" s="256">
        <v>2438000</v>
      </c>
    </row>
    <row r="104" spans="1:10">
      <c r="A104" s="253">
        <v>100</v>
      </c>
      <c r="B104" s="254" t="s">
        <v>204</v>
      </c>
      <c r="C104" s="254">
        <v>498300.00000000006</v>
      </c>
      <c r="D104" s="236">
        <f t="shared" si="5"/>
        <v>499000</v>
      </c>
      <c r="E104" s="236">
        <f t="shared" si="6"/>
        <v>549000</v>
      </c>
      <c r="F104" s="236">
        <f t="shared" si="7"/>
        <v>653000</v>
      </c>
      <c r="G104" s="236">
        <f t="shared" si="8"/>
        <v>718000</v>
      </c>
      <c r="H104" s="236">
        <f t="shared" si="9"/>
        <v>790000</v>
      </c>
      <c r="I104" s="255">
        <v>2217000</v>
      </c>
      <c r="J104" s="256">
        <v>2438000</v>
      </c>
    </row>
    <row r="105" spans="1:10">
      <c r="A105" s="253">
        <v>101</v>
      </c>
      <c r="B105" s="254" t="s">
        <v>913</v>
      </c>
      <c r="C105" s="254">
        <v>1155000</v>
      </c>
      <c r="D105" s="236">
        <f t="shared" si="5"/>
        <v>1155000</v>
      </c>
      <c r="E105" s="236">
        <f t="shared" si="6"/>
        <v>1271000</v>
      </c>
      <c r="F105" s="236">
        <f t="shared" si="7"/>
        <v>1512000</v>
      </c>
      <c r="G105" s="236">
        <f t="shared" si="8"/>
        <v>1664000</v>
      </c>
      <c r="H105" s="236">
        <f t="shared" si="9"/>
        <v>1830000</v>
      </c>
      <c r="I105" s="255">
        <v>2065000</v>
      </c>
      <c r="J105" s="256">
        <v>2272000</v>
      </c>
    </row>
    <row r="106" spans="1:10">
      <c r="A106" s="253">
        <v>102</v>
      </c>
      <c r="B106" s="254" t="s">
        <v>135</v>
      </c>
      <c r="C106" s="254">
        <v>200200.00000000003</v>
      </c>
      <c r="D106" s="236">
        <f t="shared" si="5"/>
        <v>201000</v>
      </c>
      <c r="E106" s="236">
        <f t="shared" si="6"/>
        <v>221000</v>
      </c>
      <c r="F106" s="236">
        <f t="shared" si="7"/>
        <v>263000</v>
      </c>
      <c r="G106" s="236">
        <f t="shared" si="8"/>
        <v>289000</v>
      </c>
      <c r="H106" s="236">
        <f t="shared" si="9"/>
        <v>318000</v>
      </c>
      <c r="I106" s="255">
        <v>2569000</v>
      </c>
      <c r="J106" s="256">
        <v>2826000</v>
      </c>
    </row>
    <row r="107" spans="1:10">
      <c r="A107" s="253">
        <v>103</v>
      </c>
      <c r="B107" s="254" t="s">
        <v>136</v>
      </c>
      <c r="C107" s="254">
        <v>181500.00000000003</v>
      </c>
      <c r="D107" s="236">
        <f t="shared" si="5"/>
        <v>182000</v>
      </c>
      <c r="E107" s="236">
        <f t="shared" si="6"/>
        <v>200000</v>
      </c>
      <c r="F107" s="236">
        <f t="shared" si="7"/>
        <v>238000</v>
      </c>
      <c r="G107" s="236">
        <f t="shared" si="8"/>
        <v>262000</v>
      </c>
      <c r="H107" s="236">
        <f t="shared" si="9"/>
        <v>288000</v>
      </c>
      <c r="I107" s="255">
        <v>3091000</v>
      </c>
      <c r="J107" s="256">
        <v>3400000</v>
      </c>
    </row>
    <row r="108" spans="1:10">
      <c r="A108" s="253">
        <v>104</v>
      </c>
      <c r="B108" s="254" t="s">
        <v>1514</v>
      </c>
      <c r="C108" s="254">
        <v>343200</v>
      </c>
      <c r="D108" s="236">
        <f t="shared" si="5"/>
        <v>344000</v>
      </c>
      <c r="E108" s="236">
        <f t="shared" si="6"/>
        <v>378000</v>
      </c>
      <c r="F108" s="236">
        <f t="shared" si="7"/>
        <v>450000</v>
      </c>
      <c r="G108" s="236">
        <f t="shared" si="8"/>
        <v>495000</v>
      </c>
      <c r="H108" s="236">
        <f t="shared" si="9"/>
        <v>544000</v>
      </c>
      <c r="I108" s="255">
        <v>2248000</v>
      </c>
      <c r="J108" s="256">
        <v>2472000</v>
      </c>
    </row>
    <row r="109" spans="1:10">
      <c r="A109" s="253">
        <v>105</v>
      </c>
      <c r="B109" s="237" t="s">
        <v>158</v>
      </c>
      <c r="C109" s="254">
        <v>945000</v>
      </c>
      <c r="D109" s="236">
        <f t="shared" si="5"/>
        <v>945000</v>
      </c>
      <c r="E109" s="236">
        <f t="shared" si="6"/>
        <v>1040000</v>
      </c>
      <c r="F109" s="236">
        <f t="shared" si="7"/>
        <v>1238000</v>
      </c>
      <c r="G109" s="236">
        <f t="shared" si="8"/>
        <v>1361000</v>
      </c>
      <c r="H109" s="236">
        <f t="shared" si="9"/>
        <v>1497000</v>
      </c>
      <c r="I109" s="255">
        <v>1261000</v>
      </c>
      <c r="J109" s="256">
        <v>1387000</v>
      </c>
    </row>
    <row r="110" spans="1:10">
      <c r="A110" s="253">
        <v>106</v>
      </c>
      <c r="B110" s="254" t="s">
        <v>200</v>
      </c>
      <c r="C110" s="254">
        <v>1074700</v>
      </c>
      <c r="D110" s="236">
        <f t="shared" si="5"/>
        <v>1075000</v>
      </c>
      <c r="E110" s="236">
        <f t="shared" si="6"/>
        <v>1183000</v>
      </c>
      <c r="F110" s="236">
        <f t="shared" si="7"/>
        <v>1407000</v>
      </c>
      <c r="G110" s="236">
        <f t="shared" si="8"/>
        <v>1548000</v>
      </c>
      <c r="H110" s="236">
        <f t="shared" si="9"/>
        <v>1703000</v>
      </c>
      <c r="I110" s="255">
        <v>1052000</v>
      </c>
      <c r="J110" s="256">
        <v>1158000</v>
      </c>
    </row>
    <row r="111" spans="1:10">
      <c r="A111" s="253">
        <v>107</v>
      </c>
      <c r="B111" s="237" t="s">
        <v>914</v>
      </c>
      <c r="C111" s="254">
        <v>877000</v>
      </c>
      <c r="D111" s="236">
        <f t="shared" si="5"/>
        <v>877000</v>
      </c>
      <c r="E111" s="236">
        <f t="shared" si="6"/>
        <v>965000</v>
      </c>
      <c r="F111" s="236">
        <f t="shared" si="7"/>
        <v>1148000</v>
      </c>
      <c r="G111" s="236">
        <f t="shared" si="8"/>
        <v>1263000</v>
      </c>
      <c r="H111" s="236">
        <f t="shared" si="9"/>
        <v>1390000</v>
      </c>
      <c r="I111" s="255">
        <v>1473000</v>
      </c>
      <c r="J111" s="256">
        <v>1620000</v>
      </c>
    </row>
    <row r="112" spans="1:10">
      <c r="A112" s="253">
        <v>108</v>
      </c>
      <c r="B112" s="254" t="s">
        <v>250</v>
      </c>
      <c r="C112" s="254">
        <v>1509200.0000000002</v>
      </c>
      <c r="D112" s="236">
        <f t="shared" si="5"/>
        <v>1510000</v>
      </c>
      <c r="E112" s="236">
        <f t="shared" si="6"/>
        <v>1661000</v>
      </c>
      <c r="F112" s="236">
        <f t="shared" si="7"/>
        <v>1976000</v>
      </c>
      <c r="G112" s="236">
        <f t="shared" si="8"/>
        <v>2174000</v>
      </c>
      <c r="H112" s="236">
        <f t="shared" si="9"/>
        <v>2391000</v>
      </c>
      <c r="I112" s="255">
        <v>580000</v>
      </c>
      <c r="J112" s="256">
        <v>637000</v>
      </c>
    </row>
    <row r="113" spans="1:10">
      <c r="A113" s="253">
        <v>109</v>
      </c>
      <c r="B113" s="254" t="s">
        <v>269</v>
      </c>
      <c r="C113" s="254">
        <v>1926100.0000000002</v>
      </c>
      <c r="D113" s="236">
        <f t="shared" si="5"/>
        <v>1927000</v>
      </c>
      <c r="E113" s="236">
        <f t="shared" si="6"/>
        <v>2119000</v>
      </c>
      <c r="F113" s="236">
        <f t="shared" si="7"/>
        <v>2522000</v>
      </c>
      <c r="G113" s="236">
        <f t="shared" si="8"/>
        <v>2774000</v>
      </c>
      <c r="H113" s="236">
        <f t="shared" si="9"/>
        <v>3051000</v>
      </c>
      <c r="I113" s="255">
        <v>1455000</v>
      </c>
      <c r="J113" s="256">
        <v>1601000</v>
      </c>
    </row>
    <row r="114" spans="1:10">
      <c r="A114" s="253">
        <v>110</v>
      </c>
      <c r="B114" s="254" t="s">
        <v>1515</v>
      </c>
      <c r="C114" s="254">
        <v>3150400.0000000005</v>
      </c>
      <c r="D114" s="236">
        <f t="shared" si="5"/>
        <v>3151000</v>
      </c>
      <c r="E114" s="236">
        <f t="shared" si="6"/>
        <v>3466000</v>
      </c>
      <c r="F114" s="236">
        <f t="shared" si="7"/>
        <v>4124000</v>
      </c>
      <c r="G114" s="236">
        <f t="shared" si="8"/>
        <v>4537000</v>
      </c>
      <c r="H114" s="236">
        <f t="shared" si="9"/>
        <v>4990000</v>
      </c>
      <c r="I114" s="255">
        <v>159000</v>
      </c>
      <c r="J114" s="256">
        <v>175000</v>
      </c>
    </row>
    <row r="115" spans="1:10">
      <c r="A115" s="253">
        <v>111</v>
      </c>
      <c r="B115" s="254" t="s">
        <v>915</v>
      </c>
      <c r="C115" s="254">
        <v>5183200</v>
      </c>
      <c r="D115" s="236">
        <f t="shared" si="5"/>
        <v>5184000</v>
      </c>
      <c r="E115" s="236">
        <f t="shared" si="6"/>
        <v>5702000</v>
      </c>
      <c r="F115" s="236">
        <f t="shared" si="7"/>
        <v>6785000</v>
      </c>
      <c r="G115" s="236">
        <f t="shared" si="8"/>
        <v>7464000</v>
      </c>
      <c r="H115" s="236">
        <f t="shared" si="9"/>
        <v>8210000</v>
      </c>
      <c r="I115" s="255">
        <v>4926000</v>
      </c>
      <c r="J115" s="256">
        <v>5419000</v>
      </c>
    </row>
    <row r="116" spans="1:10">
      <c r="A116" s="253">
        <v>112</v>
      </c>
      <c r="B116" s="254" t="s">
        <v>916</v>
      </c>
      <c r="C116" s="254">
        <v>4929100</v>
      </c>
      <c r="D116" s="236">
        <f t="shared" si="5"/>
        <v>4930000</v>
      </c>
      <c r="E116" s="236">
        <f t="shared" si="6"/>
        <v>5423000</v>
      </c>
      <c r="F116" s="236">
        <f t="shared" si="7"/>
        <v>6453000</v>
      </c>
      <c r="G116" s="236">
        <f t="shared" si="8"/>
        <v>7098000</v>
      </c>
      <c r="H116" s="236">
        <f t="shared" si="9"/>
        <v>7808000</v>
      </c>
      <c r="I116" s="255">
        <v>2931000</v>
      </c>
      <c r="J116" s="256">
        <v>3224000</v>
      </c>
    </row>
    <row r="117" spans="1:10">
      <c r="A117" s="253">
        <v>113</v>
      </c>
      <c r="B117" s="254" t="s">
        <v>1516</v>
      </c>
      <c r="C117" s="254">
        <v>638000</v>
      </c>
      <c r="D117" s="236">
        <f t="shared" si="5"/>
        <v>638000</v>
      </c>
      <c r="E117" s="236">
        <f t="shared" si="6"/>
        <v>702000</v>
      </c>
      <c r="F117" s="236">
        <f t="shared" si="7"/>
        <v>836000</v>
      </c>
      <c r="G117" s="236">
        <f t="shared" si="8"/>
        <v>919000</v>
      </c>
      <c r="H117" s="236">
        <f t="shared" si="9"/>
        <v>1011000</v>
      </c>
      <c r="I117" s="255">
        <v>6362000</v>
      </c>
      <c r="J117" s="256">
        <v>6998000</v>
      </c>
    </row>
    <row r="118" spans="1:10">
      <c r="A118" s="253">
        <v>114</v>
      </c>
      <c r="B118" s="254" t="s">
        <v>1517</v>
      </c>
      <c r="C118" s="254">
        <v>1633500.0000000002</v>
      </c>
      <c r="D118" s="236">
        <f t="shared" si="5"/>
        <v>1634000</v>
      </c>
      <c r="E118" s="236">
        <f t="shared" si="6"/>
        <v>1797000</v>
      </c>
      <c r="F118" s="236">
        <f t="shared" si="7"/>
        <v>2139000</v>
      </c>
      <c r="G118" s="236">
        <f t="shared" si="8"/>
        <v>2353000</v>
      </c>
      <c r="H118" s="236">
        <f t="shared" si="9"/>
        <v>2588000</v>
      </c>
      <c r="I118" s="255">
        <v>9410000</v>
      </c>
      <c r="J118" s="256">
        <v>10350000</v>
      </c>
    </row>
    <row r="119" spans="1:10">
      <c r="A119" s="253">
        <v>115</v>
      </c>
      <c r="B119" s="254" t="s">
        <v>917</v>
      </c>
      <c r="C119" s="254">
        <v>233200.00000000003</v>
      </c>
      <c r="D119" s="236">
        <f t="shared" si="5"/>
        <v>234000</v>
      </c>
      <c r="E119" s="236">
        <f t="shared" si="6"/>
        <v>257000</v>
      </c>
      <c r="F119" s="236">
        <f t="shared" si="7"/>
        <v>306000</v>
      </c>
      <c r="G119" s="236">
        <f t="shared" si="8"/>
        <v>336000</v>
      </c>
      <c r="H119" s="236">
        <f t="shared" si="9"/>
        <v>370000</v>
      </c>
      <c r="I119" s="255">
        <v>2814000</v>
      </c>
      <c r="J119" s="256">
        <v>3095000</v>
      </c>
    </row>
    <row r="120" spans="1:10">
      <c r="A120" s="253">
        <v>116</v>
      </c>
      <c r="B120" s="254" t="s">
        <v>1518</v>
      </c>
      <c r="C120" s="254">
        <v>803000.00000000012</v>
      </c>
      <c r="D120" s="236">
        <f t="shared" si="5"/>
        <v>803000</v>
      </c>
      <c r="E120" s="236">
        <f t="shared" si="6"/>
        <v>884000</v>
      </c>
      <c r="F120" s="236">
        <f t="shared" si="7"/>
        <v>1052000</v>
      </c>
      <c r="G120" s="236">
        <f t="shared" si="8"/>
        <v>1157000</v>
      </c>
      <c r="H120" s="236">
        <f t="shared" si="9"/>
        <v>1272000</v>
      </c>
      <c r="I120" s="255">
        <v>2231000</v>
      </c>
      <c r="J120" s="256">
        <v>2454000</v>
      </c>
    </row>
    <row r="121" spans="1:10">
      <c r="A121" s="253">
        <v>117</v>
      </c>
      <c r="B121" s="254" t="s">
        <v>144</v>
      </c>
      <c r="C121" s="254">
        <v>86900</v>
      </c>
      <c r="D121" s="236">
        <f t="shared" si="5"/>
        <v>87000</v>
      </c>
      <c r="E121" s="236">
        <f t="shared" si="6"/>
        <v>96000</v>
      </c>
      <c r="F121" s="236">
        <f t="shared" si="7"/>
        <v>114000</v>
      </c>
      <c r="G121" s="236">
        <f t="shared" si="8"/>
        <v>126000</v>
      </c>
      <c r="H121" s="236">
        <f t="shared" si="9"/>
        <v>138000</v>
      </c>
      <c r="I121" s="255">
        <v>826000</v>
      </c>
      <c r="J121" s="256">
        <v>908000</v>
      </c>
    </row>
    <row r="122" spans="1:10">
      <c r="A122" s="253">
        <v>118</v>
      </c>
      <c r="B122" s="254" t="s">
        <v>142</v>
      </c>
      <c r="C122" s="254">
        <v>68200</v>
      </c>
      <c r="D122" s="236">
        <f t="shared" si="5"/>
        <v>69000</v>
      </c>
      <c r="E122" s="236">
        <f t="shared" si="6"/>
        <v>76000</v>
      </c>
      <c r="F122" s="236">
        <f t="shared" si="7"/>
        <v>90000</v>
      </c>
      <c r="G122" s="236">
        <f t="shared" si="8"/>
        <v>99000</v>
      </c>
      <c r="H122" s="236">
        <f t="shared" si="9"/>
        <v>109000</v>
      </c>
      <c r="I122" s="255">
        <v>2586000</v>
      </c>
      <c r="J122" s="256">
        <v>2845000</v>
      </c>
    </row>
    <row r="123" spans="1:10">
      <c r="A123" s="253">
        <v>119</v>
      </c>
      <c r="B123" s="254" t="s">
        <v>247</v>
      </c>
      <c r="C123" s="254">
        <v>1322200</v>
      </c>
      <c r="D123" s="236">
        <f t="shared" si="5"/>
        <v>1323000</v>
      </c>
      <c r="E123" s="236">
        <f t="shared" si="6"/>
        <v>1455000</v>
      </c>
      <c r="F123" s="236">
        <f t="shared" si="7"/>
        <v>1731000</v>
      </c>
      <c r="G123" s="236">
        <f t="shared" si="8"/>
        <v>1904000</v>
      </c>
      <c r="H123" s="236">
        <f t="shared" si="9"/>
        <v>2095000</v>
      </c>
      <c r="I123" s="255">
        <v>2586000</v>
      </c>
      <c r="J123" s="256">
        <v>2845000</v>
      </c>
    </row>
    <row r="124" spans="1:10">
      <c r="A124" s="253">
        <v>120</v>
      </c>
      <c r="B124" s="254" t="s">
        <v>1519</v>
      </c>
      <c r="C124" s="254">
        <v>2138400</v>
      </c>
      <c r="D124" s="236">
        <f t="shared" si="5"/>
        <v>2139000</v>
      </c>
      <c r="E124" s="236">
        <f t="shared" si="6"/>
        <v>2353000</v>
      </c>
      <c r="F124" s="236">
        <f t="shared" si="7"/>
        <v>2800000</v>
      </c>
      <c r="G124" s="236">
        <f t="shared" si="8"/>
        <v>3080000</v>
      </c>
      <c r="H124" s="236">
        <f t="shared" si="9"/>
        <v>3387000</v>
      </c>
      <c r="I124" s="255">
        <v>3646000</v>
      </c>
      <c r="J124" s="256">
        <v>4011000</v>
      </c>
    </row>
    <row r="125" spans="1:10">
      <c r="A125" s="253">
        <v>121</v>
      </c>
      <c r="B125" s="254" t="s">
        <v>260</v>
      </c>
      <c r="C125" s="254">
        <v>218900.00000000003</v>
      </c>
      <c r="D125" s="236">
        <f t="shared" si="5"/>
        <v>219000</v>
      </c>
      <c r="E125" s="236">
        <f t="shared" si="6"/>
        <v>241000</v>
      </c>
      <c r="F125" s="236">
        <f t="shared" si="7"/>
        <v>287000</v>
      </c>
      <c r="G125" s="236">
        <f t="shared" si="8"/>
        <v>316000</v>
      </c>
      <c r="H125" s="236">
        <f t="shared" si="9"/>
        <v>347000</v>
      </c>
      <c r="I125" s="255">
        <v>2482000</v>
      </c>
      <c r="J125" s="256">
        <v>2730000</v>
      </c>
    </row>
    <row r="126" spans="1:10">
      <c r="A126" s="253">
        <v>122</v>
      </c>
      <c r="B126" s="254" t="s">
        <v>154</v>
      </c>
      <c r="C126" s="254">
        <v>1611500.0000000002</v>
      </c>
      <c r="D126" s="236">
        <f t="shared" si="5"/>
        <v>1612000</v>
      </c>
      <c r="E126" s="236">
        <f t="shared" si="6"/>
        <v>1773000</v>
      </c>
      <c r="F126" s="236">
        <f t="shared" si="7"/>
        <v>2110000</v>
      </c>
      <c r="G126" s="236">
        <f t="shared" si="8"/>
        <v>2321000</v>
      </c>
      <c r="H126" s="236">
        <f t="shared" si="9"/>
        <v>2553000</v>
      </c>
      <c r="I126" s="255">
        <v>2712000</v>
      </c>
      <c r="J126" s="256">
        <v>2984000</v>
      </c>
    </row>
    <row r="127" spans="1:10">
      <c r="A127" s="253">
        <v>123</v>
      </c>
      <c r="B127" s="254" t="s">
        <v>155</v>
      </c>
      <c r="C127" s="254">
        <v>1498200.0000000002</v>
      </c>
      <c r="D127" s="236">
        <f t="shared" si="5"/>
        <v>1499000</v>
      </c>
      <c r="E127" s="236">
        <f t="shared" si="6"/>
        <v>1649000</v>
      </c>
      <c r="F127" s="236">
        <f t="shared" si="7"/>
        <v>1962000</v>
      </c>
      <c r="G127" s="236">
        <f t="shared" si="8"/>
        <v>2158000</v>
      </c>
      <c r="H127" s="236">
        <f t="shared" si="9"/>
        <v>2373000</v>
      </c>
      <c r="I127" s="255">
        <v>3150000</v>
      </c>
      <c r="J127" s="256">
        <v>3465000</v>
      </c>
    </row>
    <row r="128" spans="1:10">
      <c r="A128" s="253">
        <v>124</v>
      </c>
      <c r="B128" s="254" t="s">
        <v>259</v>
      </c>
      <c r="C128" s="254">
        <v>1447600.0000000002</v>
      </c>
      <c r="D128" s="236">
        <f t="shared" si="5"/>
        <v>1448000</v>
      </c>
      <c r="E128" s="236">
        <f t="shared" si="6"/>
        <v>1593000</v>
      </c>
      <c r="F128" s="236">
        <f t="shared" si="7"/>
        <v>1895000</v>
      </c>
      <c r="G128" s="236">
        <f t="shared" si="8"/>
        <v>2085000</v>
      </c>
      <c r="H128" s="236">
        <f t="shared" si="9"/>
        <v>2293000</v>
      </c>
      <c r="I128" s="255">
        <v>2132000</v>
      </c>
      <c r="J128" s="256">
        <v>2346000</v>
      </c>
    </row>
    <row r="129" spans="1:10">
      <c r="A129" s="253">
        <v>125</v>
      </c>
      <c r="B129" s="254" t="s">
        <v>163</v>
      </c>
      <c r="C129" s="254">
        <v>762300.00000000012</v>
      </c>
      <c r="D129" s="236">
        <f t="shared" si="5"/>
        <v>763000</v>
      </c>
      <c r="E129" s="236">
        <f t="shared" si="6"/>
        <v>839000</v>
      </c>
      <c r="F129" s="236">
        <f t="shared" si="7"/>
        <v>998000</v>
      </c>
      <c r="G129" s="236">
        <f t="shared" si="8"/>
        <v>1098000</v>
      </c>
      <c r="H129" s="236">
        <f t="shared" si="9"/>
        <v>1208000</v>
      </c>
      <c r="I129" s="255">
        <v>2328000</v>
      </c>
      <c r="J129" s="256">
        <v>2560000</v>
      </c>
    </row>
    <row r="130" spans="1:10">
      <c r="A130" s="253">
        <v>126</v>
      </c>
      <c r="B130" s="254" t="s">
        <v>159</v>
      </c>
      <c r="C130" s="254">
        <v>773300.00000000012</v>
      </c>
      <c r="D130" s="236">
        <f t="shared" si="5"/>
        <v>774000</v>
      </c>
      <c r="E130" s="236">
        <f t="shared" si="6"/>
        <v>851000</v>
      </c>
      <c r="F130" s="236">
        <f t="shared" si="7"/>
        <v>1013000</v>
      </c>
      <c r="G130" s="236">
        <f t="shared" si="8"/>
        <v>1114000</v>
      </c>
      <c r="H130" s="236">
        <f t="shared" si="9"/>
        <v>1225000</v>
      </c>
      <c r="I130" s="255">
        <v>2391000</v>
      </c>
      <c r="J130" s="256">
        <v>2630000</v>
      </c>
    </row>
    <row r="131" spans="1:10">
      <c r="A131" s="253">
        <v>127</v>
      </c>
      <c r="B131" s="254" t="s">
        <v>198</v>
      </c>
      <c r="C131" s="254">
        <v>220000.00000000003</v>
      </c>
      <c r="D131" s="236">
        <f t="shared" si="5"/>
        <v>220000</v>
      </c>
      <c r="E131" s="236">
        <f t="shared" si="6"/>
        <v>242000</v>
      </c>
      <c r="F131" s="236">
        <f t="shared" si="7"/>
        <v>288000</v>
      </c>
      <c r="G131" s="236">
        <f t="shared" si="8"/>
        <v>317000</v>
      </c>
      <c r="H131" s="236">
        <f t="shared" si="9"/>
        <v>349000</v>
      </c>
      <c r="I131" s="255">
        <v>2228000</v>
      </c>
      <c r="J131" s="256">
        <v>2450000</v>
      </c>
    </row>
    <row r="132" spans="1:10">
      <c r="A132" s="253">
        <v>128</v>
      </c>
      <c r="B132" s="254" t="s">
        <v>264</v>
      </c>
      <c r="C132" s="254">
        <v>2215400</v>
      </c>
      <c r="D132" s="236">
        <f t="shared" si="5"/>
        <v>2216000</v>
      </c>
      <c r="E132" s="236">
        <f t="shared" si="6"/>
        <v>2437000</v>
      </c>
      <c r="F132" s="236">
        <f t="shared" si="7"/>
        <v>2900000</v>
      </c>
      <c r="G132" s="236">
        <f t="shared" si="8"/>
        <v>3190000</v>
      </c>
      <c r="H132" s="236">
        <f t="shared" si="9"/>
        <v>3509000</v>
      </c>
      <c r="I132" s="255">
        <v>169000</v>
      </c>
      <c r="J132" s="256">
        <v>186000</v>
      </c>
    </row>
    <row r="133" spans="1:10">
      <c r="A133" s="253">
        <v>129</v>
      </c>
      <c r="B133" s="254" t="s">
        <v>1520</v>
      </c>
      <c r="C133" s="254">
        <v>1959100.0000000002</v>
      </c>
      <c r="D133" s="236">
        <f t="shared" si="5"/>
        <v>1960000</v>
      </c>
      <c r="E133" s="236">
        <f t="shared" si="6"/>
        <v>2156000</v>
      </c>
      <c r="F133" s="236">
        <f t="shared" si="7"/>
        <v>2565000</v>
      </c>
      <c r="G133" s="236">
        <f t="shared" si="8"/>
        <v>2821000</v>
      </c>
      <c r="H133" s="236">
        <f t="shared" si="9"/>
        <v>3103000</v>
      </c>
      <c r="I133" s="255">
        <v>39000</v>
      </c>
      <c r="J133" s="256">
        <v>42000</v>
      </c>
    </row>
    <row r="134" spans="1:10">
      <c r="A134" s="253">
        <v>130</v>
      </c>
      <c r="B134" s="254" t="s">
        <v>243</v>
      </c>
      <c r="C134" s="254">
        <v>1085700</v>
      </c>
      <c r="D134" s="236">
        <f t="shared" ref="D134:D197" si="10">ROUNDUP(C134,-3)</f>
        <v>1086000</v>
      </c>
      <c r="E134" s="236">
        <f t="shared" ref="E134:E197" si="11">ROUNDUP($C134*1.1,-3)</f>
        <v>1195000</v>
      </c>
      <c r="F134" s="236">
        <f t="shared" ref="F134:F197" si="12">ROUNDUP($C134*1.1*1.19,-3)</f>
        <v>1422000</v>
      </c>
      <c r="G134" s="236">
        <f t="shared" ref="G134:G197" si="13">ROUNDUP($C134*1.1*1.19*1.1,-3)</f>
        <v>1564000</v>
      </c>
      <c r="H134" s="236">
        <f t="shared" ref="H134:H197" si="14">ROUNDUP($C134*1.1*1.19*1.1*1.1,-3)</f>
        <v>1720000</v>
      </c>
      <c r="I134" s="255">
        <v>194000</v>
      </c>
      <c r="J134" s="256">
        <v>213000</v>
      </c>
    </row>
    <row r="135" spans="1:10">
      <c r="A135" s="253">
        <v>131</v>
      </c>
      <c r="B135" s="254" t="s">
        <v>918</v>
      </c>
      <c r="C135" s="254">
        <v>2066900.0000000002</v>
      </c>
      <c r="D135" s="236">
        <f t="shared" si="10"/>
        <v>2067000</v>
      </c>
      <c r="E135" s="236">
        <f t="shared" si="11"/>
        <v>2274000</v>
      </c>
      <c r="F135" s="236">
        <f t="shared" si="12"/>
        <v>2706000</v>
      </c>
      <c r="G135" s="236">
        <f t="shared" si="13"/>
        <v>2977000</v>
      </c>
      <c r="H135" s="236">
        <f t="shared" si="14"/>
        <v>3274000</v>
      </c>
      <c r="I135" s="255">
        <v>1050000</v>
      </c>
      <c r="J135" s="256">
        <v>1155000</v>
      </c>
    </row>
    <row r="136" spans="1:10">
      <c r="A136" s="253">
        <v>132</v>
      </c>
      <c r="B136" s="254" t="s">
        <v>239</v>
      </c>
      <c r="C136" s="254">
        <v>1074700</v>
      </c>
      <c r="D136" s="236">
        <f t="shared" si="10"/>
        <v>1075000</v>
      </c>
      <c r="E136" s="236">
        <f t="shared" si="11"/>
        <v>1183000</v>
      </c>
      <c r="F136" s="236">
        <f t="shared" si="12"/>
        <v>1407000</v>
      </c>
      <c r="G136" s="236">
        <f t="shared" si="13"/>
        <v>1548000</v>
      </c>
      <c r="H136" s="236">
        <f t="shared" si="14"/>
        <v>1703000</v>
      </c>
      <c r="I136" s="255"/>
      <c r="J136" s="256"/>
    </row>
    <row r="137" spans="1:10">
      <c r="A137" s="253">
        <v>133</v>
      </c>
      <c r="B137" s="254" t="s">
        <v>240</v>
      </c>
      <c r="C137" s="254">
        <v>1516900.0000000002</v>
      </c>
      <c r="D137" s="236">
        <f t="shared" si="10"/>
        <v>1517000</v>
      </c>
      <c r="E137" s="236">
        <f t="shared" si="11"/>
        <v>1669000</v>
      </c>
      <c r="F137" s="236">
        <f t="shared" si="12"/>
        <v>1986000</v>
      </c>
      <c r="G137" s="236">
        <f t="shared" si="13"/>
        <v>2185000</v>
      </c>
      <c r="H137" s="236">
        <f t="shared" si="14"/>
        <v>2403000</v>
      </c>
      <c r="I137" s="255">
        <v>337000</v>
      </c>
      <c r="J137" s="256">
        <v>371000</v>
      </c>
    </row>
    <row r="138" spans="1:10">
      <c r="A138" s="253">
        <v>134</v>
      </c>
      <c r="B138" s="254" t="s">
        <v>201</v>
      </c>
      <c r="C138" s="254">
        <v>764500.00000000012</v>
      </c>
      <c r="D138" s="236">
        <f t="shared" si="10"/>
        <v>765000</v>
      </c>
      <c r="E138" s="236">
        <f t="shared" si="11"/>
        <v>841000</v>
      </c>
      <c r="F138" s="236">
        <f t="shared" si="12"/>
        <v>1001000</v>
      </c>
      <c r="G138" s="236">
        <f t="shared" si="13"/>
        <v>1101000</v>
      </c>
      <c r="H138" s="236">
        <f t="shared" si="14"/>
        <v>1211000</v>
      </c>
      <c r="I138" s="255">
        <v>337000</v>
      </c>
      <c r="J138" s="256">
        <v>371000</v>
      </c>
    </row>
    <row r="139" spans="1:10">
      <c r="A139" s="253">
        <v>135</v>
      </c>
      <c r="B139" s="254" t="s">
        <v>202</v>
      </c>
      <c r="C139" s="254">
        <v>375100.00000000006</v>
      </c>
      <c r="D139" s="236">
        <f t="shared" si="10"/>
        <v>376000</v>
      </c>
      <c r="E139" s="236">
        <f t="shared" si="11"/>
        <v>413000</v>
      </c>
      <c r="F139" s="236">
        <f t="shared" si="12"/>
        <v>492000</v>
      </c>
      <c r="G139" s="236">
        <f t="shared" si="13"/>
        <v>541000</v>
      </c>
      <c r="H139" s="236">
        <f t="shared" si="14"/>
        <v>595000</v>
      </c>
      <c r="I139" s="255">
        <v>337000</v>
      </c>
      <c r="J139" s="256">
        <v>371000</v>
      </c>
    </row>
    <row r="140" spans="1:10">
      <c r="A140" s="253">
        <v>136</v>
      </c>
      <c r="B140" s="254" t="s">
        <v>272</v>
      </c>
      <c r="C140" s="254">
        <v>1334300</v>
      </c>
      <c r="D140" s="236">
        <f t="shared" si="10"/>
        <v>1335000</v>
      </c>
      <c r="E140" s="236">
        <f t="shared" si="11"/>
        <v>1468000</v>
      </c>
      <c r="F140" s="236">
        <f t="shared" si="12"/>
        <v>1747000</v>
      </c>
      <c r="G140" s="236">
        <f t="shared" si="13"/>
        <v>1922000</v>
      </c>
      <c r="H140" s="236">
        <f t="shared" si="14"/>
        <v>2114000</v>
      </c>
      <c r="I140" s="255">
        <v>337000</v>
      </c>
      <c r="J140" s="256">
        <v>371000</v>
      </c>
    </row>
    <row r="141" spans="1:10">
      <c r="A141" s="253">
        <v>137</v>
      </c>
      <c r="B141" s="254" t="s">
        <v>146</v>
      </c>
      <c r="C141" s="254">
        <v>343200</v>
      </c>
      <c r="D141" s="236">
        <f t="shared" si="10"/>
        <v>344000</v>
      </c>
      <c r="E141" s="236">
        <f t="shared" si="11"/>
        <v>378000</v>
      </c>
      <c r="F141" s="236">
        <f t="shared" si="12"/>
        <v>450000</v>
      </c>
      <c r="G141" s="236">
        <f t="shared" si="13"/>
        <v>495000</v>
      </c>
      <c r="H141" s="236">
        <f t="shared" si="14"/>
        <v>544000</v>
      </c>
      <c r="I141" s="255">
        <v>2293000</v>
      </c>
      <c r="J141" s="256">
        <v>2522000</v>
      </c>
    </row>
    <row r="142" spans="1:10">
      <c r="A142" s="253">
        <v>138</v>
      </c>
      <c r="B142" s="254" t="s">
        <v>172</v>
      </c>
      <c r="C142" s="254">
        <v>184800.00000000003</v>
      </c>
      <c r="D142" s="236">
        <f t="shared" si="10"/>
        <v>185000</v>
      </c>
      <c r="E142" s="236">
        <f t="shared" si="11"/>
        <v>204000</v>
      </c>
      <c r="F142" s="236">
        <f t="shared" si="12"/>
        <v>242000</v>
      </c>
      <c r="G142" s="236">
        <f t="shared" si="13"/>
        <v>267000</v>
      </c>
      <c r="H142" s="236">
        <f t="shared" si="14"/>
        <v>293000</v>
      </c>
      <c r="I142" s="255">
        <v>301000</v>
      </c>
      <c r="J142" s="256">
        <v>331000</v>
      </c>
    </row>
    <row r="143" spans="1:10">
      <c r="A143" s="253">
        <v>139</v>
      </c>
      <c r="B143" s="254" t="s">
        <v>919</v>
      </c>
      <c r="C143" s="254">
        <v>1479500.0000000002</v>
      </c>
      <c r="D143" s="236">
        <f t="shared" si="10"/>
        <v>1480000</v>
      </c>
      <c r="E143" s="236">
        <f t="shared" si="11"/>
        <v>1628000</v>
      </c>
      <c r="F143" s="236">
        <f t="shared" si="12"/>
        <v>1937000</v>
      </c>
      <c r="G143" s="236">
        <f t="shared" si="13"/>
        <v>2131000</v>
      </c>
      <c r="H143" s="236">
        <f t="shared" si="14"/>
        <v>2344000</v>
      </c>
      <c r="I143" s="255">
        <v>2200000</v>
      </c>
      <c r="J143" s="256">
        <v>2420000</v>
      </c>
    </row>
    <row r="144" spans="1:10">
      <c r="A144" s="253">
        <v>140</v>
      </c>
      <c r="B144" s="254" t="s">
        <v>180</v>
      </c>
      <c r="C144" s="254">
        <v>82500</v>
      </c>
      <c r="D144" s="236">
        <f t="shared" si="10"/>
        <v>83000</v>
      </c>
      <c r="E144" s="236">
        <f t="shared" si="11"/>
        <v>91000</v>
      </c>
      <c r="F144" s="236">
        <f t="shared" si="12"/>
        <v>108000</v>
      </c>
      <c r="G144" s="236">
        <f t="shared" si="13"/>
        <v>119000</v>
      </c>
      <c r="H144" s="236">
        <f t="shared" si="14"/>
        <v>131000</v>
      </c>
      <c r="I144" s="255">
        <v>1997000</v>
      </c>
      <c r="J144" s="256">
        <v>2197000</v>
      </c>
    </row>
    <row r="145" spans="1:10">
      <c r="A145" s="253">
        <v>141</v>
      </c>
      <c r="B145" s="254" t="s">
        <v>181</v>
      </c>
      <c r="C145" s="254">
        <v>82500</v>
      </c>
      <c r="D145" s="236">
        <f t="shared" si="10"/>
        <v>83000</v>
      </c>
      <c r="E145" s="236">
        <f t="shared" si="11"/>
        <v>91000</v>
      </c>
      <c r="F145" s="236">
        <f t="shared" si="12"/>
        <v>108000</v>
      </c>
      <c r="G145" s="236">
        <f t="shared" si="13"/>
        <v>119000</v>
      </c>
      <c r="H145" s="236">
        <f t="shared" si="14"/>
        <v>131000</v>
      </c>
      <c r="I145" s="255">
        <v>3725000</v>
      </c>
      <c r="J145" s="256">
        <v>4098000</v>
      </c>
    </row>
    <row r="146" spans="1:10">
      <c r="A146" s="253">
        <v>142</v>
      </c>
      <c r="B146" s="254" t="s">
        <v>182</v>
      </c>
      <c r="C146" s="254">
        <v>82500</v>
      </c>
      <c r="D146" s="236">
        <f t="shared" si="10"/>
        <v>83000</v>
      </c>
      <c r="E146" s="236">
        <f t="shared" si="11"/>
        <v>91000</v>
      </c>
      <c r="F146" s="236">
        <f t="shared" si="12"/>
        <v>108000</v>
      </c>
      <c r="G146" s="236">
        <f t="shared" si="13"/>
        <v>119000</v>
      </c>
      <c r="H146" s="236">
        <f t="shared" si="14"/>
        <v>131000</v>
      </c>
      <c r="I146" s="255">
        <v>3838000</v>
      </c>
      <c r="J146" s="256">
        <v>4222000</v>
      </c>
    </row>
    <row r="147" spans="1:10">
      <c r="A147" s="253">
        <v>143</v>
      </c>
      <c r="B147" s="254" t="s">
        <v>148</v>
      </c>
      <c r="C147" s="254">
        <v>71500</v>
      </c>
      <c r="D147" s="236">
        <f t="shared" si="10"/>
        <v>72000</v>
      </c>
      <c r="E147" s="236">
        <f t="shared" si="11"/>
        <v>79000</v>
      </c>
      <c r="F147" s="236">
        <f t="shared" si="12"/>
        <v>94000</v>
      </c>
      <c r="G147" s="236">
        <f t="shared" si="13"/>
        <v>103000</v>
      </c>
      <c r="H147" s="236">
        <f t="shared" si="14"/>
        <v>114000</v>
      </c>
      <c r="I147" s="255">
        <v>5526000</v>
      </c>
      <c r="J147" s="256">
        <v>6079000</v>
      </c>
    </row>
    <row r="148" spans="1:10">
      <c r="A148" s="253">
        <v>144</v>
      </c>
      <c r="B148" s="254" t="s">
        <v>920</v>
      </c>
      <c r="C148" s="254">
        <v>228800.00000000003</v>
      </c>
      <c r="D148" s="236">
        <f t="shared" si="10"/>
        <v>229000</v>
      </c>
      <c r="E148" s="236">
        <f t="shared" si="11"/>
        <v>252000</v>
      </c>
      <c r="F148" s="236">
        <f t="shared" si="12"/>
        <v>300000</v>
      </c>
      <c r="G148" s="236">
        <f t="shared" si="13"/>
        <v>330000</v>
      </c>
      <c r="H148" s="236">
        <f t="shared" si="14"/>
        <v>363000</v>
      </c>
      <c r="I148" s="255">
        <v>3635000</v>
      </c>
      <c r="J148" s="256">
        <v>3999000</v>
      </c>
    </row>
    <row r="149" spans="1:10">
      <c r="A149" s="253">
        <v>145</v>
      </c>
      <c r="B149" s="254" t="s">
        <v>145</v>
      </c>
      <c r="C149" s="254">
        <v>174900</v>
      </c>
      <c r="D149" s="236">
        <f t="shared" si="10"/>
        <v>175000</v>
      </c>
      <c r="E149" s="236">
        <f t="shared" si="11"/>
        <v>193000</v>
      </c>
      <c r="F149" s="236">
        <f t="shared" si="12"/>
        <v>229000</v>
      </c>
      <c r="G149" s="236">
        <f t="shared" si="13"/>
        <v>252000</v>
      </c>
      <c r="H149" s="236">
        <f t="shared" si="14"/>
        <v>278000</v>
      </c>
      <c r="I149" s="255">
        <v>4431000</v>
      </c>
      <c r="J149" s="256">
        <v>4874000</v>
      </c>
    </row>
    <row r="150" spans="1:10">
      <c r="A150" s="253">
        <v>146</v>
      </c>
      <c r="B150" s="254" t="s">
        <v>921</v>
      </c>
      <c r="C150" s="254">
        <v>1305700</v>
      </c>
      <c r="D150" s="236">
        <f t="shared" si="10"/>
        <v>1306000</v>
      </c>
      <c r="E150" s="236">
        <f t="shared" si="11"/>
        <v>1437000</v>
      </c>
      <c r="F150" s="236">
        <f t="shared" si="12"/>
        <v>1710000</v>
      </c>
      <c r="G150" s="236">
        <f t="shared" si="13"/>
        <v>1881000</v>
      </c>
      <c r="H150" s="236">
        <f t="shared" si="14"/>
        <v>2069000</v>
      </c>
      <c r="I150" s="255">
        <v>1978000</v>
      </c>
      <c r="J150" s="256">
        <v>2176000</v>
      </c>
    </row>
    <row r="151" spans="1:10">
      <c r="A151" s="253">
        <v>147</v>
      </c>
      <c r="B151" s="254" t="s">
        <v>922</v>
      </c>
      <c r="C151" s="254">
        <v>1164900</v>
      </c>
      <c r="D151" s="236">
        <f t="shared" si="10"/>
        <v>1165000</v>
      </c>
      <c r="E151" s="236">
        <f t="shared" si="11"/>
        <v>1282000</v>
      </c>
      <c r="F151" s="236">
        <f t="shared" si="12"/>
        <v>1525000</v>
      </c>
      <c r="G151" s="236">
        <f t="shared" si="13"/>
        <v>1678000</v>
      </c>
      <c r="H151" s="236">
        <f t="shared" si="14"/>
        <v>1846000</v>
      </c>
      <c r="I151" s="255">
        <v>2613000</v>
      </c>
      <c r="J151" s="256">
        <v>2874000</v>
      </c>
    </row>
    <row r="152" spans="1:10">
      <c r="A152" s="253">
        <v>148</v>
      </c>
      <c r="B152" s="254" t="s">
        <v>923</v>
      </c>
      <c r="C152" s="254">
        <v>434500.00000000006</v>
      </c>
      <c r="D152" s="236">
        <f t="shared" si="10"/>
        <v>435000</v>
      </c>
      <c r="E152" s="236">
        <f t="shared" si="11"/>
        <v>478000</v>
      </c>
      <c r="F152" s="236">
        <f t="shared" si="12"/>
        <v>569000</v>
      </c>
      <c r="G152" s="236">
        <f t="shared" si="13"/>
        <v>626000</v>
      </c>
      <c r="H152" s="236">
        <f t="shared" si="14"/>
        <v>689000</v>
      </c>
      <c r="I152" s="255">
        <v>1010000</v>
      </c>
      <c r="J152" s="256">
        <v>1111000</v>
      </c>
    </row>
    <row r="153" spans="1:10">
      <c r="A153" s="253">
        <v>149</v>
      </c>
      <c r="B153" s="254" t="s">
        <v>183</v>
      </c>
      <c r="C153" s="254">
        <v>501600.00000000006</v>
      </c>
      <c r="D153" s="236">
        <f t="shared" si="10"/>
        <v>502000</v>
      </c>
      <c r="E153" s="236">
        <f t="shared" si="11"/>
        <v>552000</v>
      </c>
      <c r="F153" s="236">
        <f t="shared" si="12"/>
        <v>657000</v>
      </c>
      <c r="G153" s="236">
        <f t="shared" si="13"/>
        <v>723000</v>
      </c>
      <c r="H153" s="236">
        <f t="shared" si="14"/>
        <v>795000</v>
      </c>
      <c r="I153" s="255">
        <v>3189000</v>
      </c>
      <c r="J153" s="256">
        <v>3508000</v>
      </c>
    </row>
    <row r="154" spans="1:10">
      <c r="A154" s="253">
        <v>150</v>
      </c>
      <c r="B154" s="254" t="s">
        <v>924</v>
      </c>
      <c r="C154" s="254">
        <v>1182500</v>
      </c>
      <c r="D154" s="236">
        <f t="shared" si="10"/>
        <v>1183000</v>
      </c>
      <c r="E154" s="236">
        <f t="shared" si="11"/>
        <v>1301000</v>
      </c>
      <c r="F154" s="236">
        <f t="shared" si="12"/>
        <v>1548000</v>
      </c>
      <c r="G154" s="236">
        <f t="shared" si="13"/>
        <v>1703000</v>
      </c>
      <c r="H154" s="236">
        <f t="shared" si="14"/>
        <v>1873000</v>
      </c>
      <c r="I154" s="255">
        <v>2988000</v>
      </c>
      <c r="J154" s="256">
        <v>3287000</v>
      </c>
    </row>
    <row r="155" spans="1:10">
      <c r="A155" s="253">
        <v>151</v>
      </c>
      <c r="B155" s="254" t="s">
        <v>925</v>
      </c>
      <c r="C155" s="254">
        <v>301400</v>
      </c>
      <c r="D155" s="236">
        <f t="shared" si="10"/>
        <v>302000</v>
      </c>
      <c r="E155" s="236">
        <f t="shared" si="11"/>
        <v>332000</v>
      </c>
      <c r="F155" s="236">
        <f t="shared" si="12"/>
        <v>395000</v>
      </c>
      <c r="G155" s="236">
        <f t="shared" si="13"/>
        <v>434000</v>
      </c>
      <c r="H155" s="236">
        <f t="shared" si="14"/>
        <v>478000</v>
      </c>
      <c r="I155" s="255">
        <v>337000</v>
      </c>
      <c r="J155" s="256">
        <v>371000</v>
      </c>
    </row>
    <row r="156" spans="1:10">
      <c r="A156" s="253">
        <v>152</v>
      </c>
      <c r="B156" s="254" t="s">
        <v>926</v>
      </c>
      <c r="C156" s="254">
        <v>480700.00000000006</v>
      </c>
      <c r="D156" s="236">
        <f t="shared" si="10"/>
        <v>481000</v>
      </c>
      <c r="E156" s="236">
        <f t="shared" si="11"/>
        <v>529000</v>
      </c>
      <c r="F156" s="236">
        <f t="shared" si="12"/>
        <v>630000</v>
      </c>
      <c r="G156" s="236">
        <f t="shared" si="13"/>
        <v>693000</v>
      </c>
      <c r="H156" s="236">
        <f t="shared" si="14"/>
        <v>762000</v>
      </c>
      <c r="I156" s="255">
        <v>2316000</v>
      </c>
      <c r="J156" s="256">
        <v>2547000</v>
      </c>
    </row>
    <row r="157" spans="1:10">
      <c r="A157" s="253">
        <v>153</v>
      </c>
      <c r="B157" s="254" t="s">
        <v>927</v>
      </c>
      <c r="C157" s="254">
        <v>913000.00000000012</v>
      </c>
      <c r="D157" s="236">
        <f t="shared" si="10"/>
        <v>913000</v>
      </c>
      <c r="E157" s="236">
        <f t="shared" si="11"/>
        <v>1005000</v>
      </c>
      <c r="F157" s="236">
        <f t="shared" si="12"/>
        <v>1196000</v>
      </c>
      <c r="G157" s="236">
        <f t="shared" si="13"/>
        <v>1315000</v>
      </c>
      <c r="H157" s="236">
        <f t="shared" si="14"/>
        <v>1447000</v>
      </c>
      <c r="I157" s="255">
        <v>2208000</v>
      </c>
      <c r="J157" s="256">
        <v>2429000</v>
      </c>
    </row>
    <row r="158" spans="1:10">
      <c r="A158" s="253">
        <v>154</v>
      </c>
      <c r="B158" s="254" t="s">
        <v>210</v>
      </c>
      <c r="C158" s="254">
        <v>6153400.0000000009</v>
      </c>
      <c r="D158" s="236">
        <f t="shared" si="10"/>
        <v>6154000</v>
      </c>
      <c r="E158" s="236">
        <f t="shared" si="11"/>
        <v>6769000</v>
      </c>
      <c r="F158" s="236">
        <f t="shared" si="12"/>
        <v>8055000</v>
      </c>
      <c r="G158" s="236">
        <f t="shared" si="13"/>
        <v>8861000</v>
      </c>
      <c r="H158" s="236">
        <f t="shared" si="14"/>
        <v>9747000</v>
      </c>
      <c r="I158" s="255">
        <v>2208000</v>
      </c>
      <c r="J158" s="256">
        <v>2429000</v>
      </c>
    </row>
    <row r="159" spans="1:10">
      <c r="A159" s="253">
        <v>155</v>
      </c>
      <c r="B159" s="254" t="s">
        <v>213</v>
      </c>
      <c r="C159" s="254">
        <v>2277000</v>
      </c>
      <c r="D159" s="236">
        <f t="shared" si="10"/>
        <v>2277000</v>
      </c>
      <c r="E159" s="236">
        <f t="shared" si="11"/>
        <v>2505000</v>
      </c>
      <c r="F159" s="236">
        <f t="shared" si="12"/>
        <v>2981000</v>
      </c>
      <c r="G159" s="236">
        <f t="shared" si="13"/>
        <v>3279000</v>
      </c>
      <c r="H159" s="236">
        <f t="shared" si="14"/>
        <v>3607000</v>
      </c>
      <c r="I159" s="255">
        <v>1443000</v>
      </c>
      <c r="J159" s="256">
        <v>1587000</v>
      </c>
    </row>
    <row r="160" spans="1:10">
      <c r="A160" s="253">
        <v>156</v>
      </c>
      <c r="B160" s="254" t="s">
        <v>184</v>
      </c>
      <c r="C160" s="254">
        <v>119900.00000000001</v>
      </c>
      <c r="D160" s="236">
        <f t="shared" si="10"/>
        <v>120000</v>
      </c>
      <c r="E160" s="236">
        <f t="shared" si="11"/>
        <v>132000</v>
      </c>
      <c r="F160" s="236">
        <f t="shared" si="12"/>
        <v>157000</v>
      </c>
      <c r="G160" s="236">
        <f t="shared" si="13"/>
        <v>173000</v>
      </c>
      <c r="H160" s="236">
        <f t="shared" si="14"/>
        <v>190000</v>
      </c>
      <c r="I160" s="255">
        <v>1443000</v>
      </c>
      <c r="J160" s="256">
        <v>1587000</v>
      </c>
    </row>
    <row r="161" spans="1:10">
      <c r="A161" s="253">
        <v>157</v>
      </c>
      <c r="B161" s="254" t="s">
        <v>928</v>
      </c>
      <c r="C161" s="254">
        <v>1701700.0000000002</v>
      </c>
      <c r="D161" s="236">
        <f t="shared" si="10"/>
        <v>1702000</v>
      </c>
      <c r="E161" s="236">
        <f t="shared" si="11"/>
        <v>1872000</v>
      </c>
      <c r="F161" s="236">
        <f t="shared" si="12"/>
        <v>2228000</v>
      </c>
      <c r="G161" s="236">
        <f t="shared" si="13"/>
        <v>2451000</v>
      </c>
      <c r="H161" s="236">
        <f t="shared" si="14"/>
        <v>2696000</v>
      </c>
      <c r="I161" s="255">
        <v>1443000</v>
      </c>
      <c r="J161" s="256">
        <v>1587000</v>
      </c>
    </row>
    <row r="162" spans="1:10">
      <c r="A162" s="253">
        <v>158</v>
      </c>
      <c r="B162" s="254" t="s">
        <v>929</v>
      </c>
      <c r="C162" s="254">
        <v>1701700.0000000002</v>
      </c>
      <c r="D162" s="236">
        <f t="shared" si="10"/>
        <v>1702000</v>
      </c>
      <c r="E162" s="236">
        <f t="shared" si="11"/>
        <v>1872000</v>
      </c>
      <c r="F162" s="236">
        <f t="shared" si="12"/>
        <v>2228000</v>
      </c>
      <c r="G162" s="236">
        <f t="shared" si="13"/>
        <v>2451000</v>
      </c>
      <c r="H162" s="236">
        <f t="shared" si="14"/>
        <v>2696000</v>
      </c>
      <c r="I162" s="255">
        <v>1443000</v>
      </c>
      <c r="J162" s="256">
        <v>1587000</v>
      </c>
    </row>
    <row r="163" spans="1:10">
      <c r="A163" s="253">
        <v>159</v>
      </c>
      <c r="B163" s="254" t="s">
        <v>137</v>
      </c>
      <c r="C163" s="254">
        <v>68200</v>
      </c>
      <c r="D163" s="236">
        <f t="shared" si="10"/>
        <v>69000</v>
      </c>
      <c r="E163" s="236">
        <f t="shared" si="11"/>
        <v>76000</v>
      </c>
      <c r="F163" s="236">
        <f t="shared" si="12"/>
        <v>90000</v>
      </c>
      <c r="G163" s="236">
        <f t="shared" si="13"/>
        <v>99000</v>
      </c>
      <c r="H163" s="236">
        <f t="shared" si="14"/>
        <v>109000</v>
      </c>
      <c r="I163" s="255">
        <v>2208000</v>
      </c>
      <c r="J163" s="256">
        <v>2429000</v>
      </c>
    </row>
    <row r="164" spans="1:10">
      <c r="A164" s="253">
        <v>160</v>
      </c>
      <c r="B164" s="254" t="s">
        <v>138</v>
      </c>
      <c r="C164" s="254">
        <v>68200</v>
      </c>
      <c r="D164" s="236">
        <f t="shared" si="10"/>
        <v>69000</v>
      </c>
      <c r="E164" s="236">
        <f t="shared" si="11"/>
        <v>76000</v>
      </c>
      <c r="F164" s="236">
        <f t="shared" si="12"/>
        <v>90000</v>
      </c>
      <c r="G164" s="236">
        <f t="shared" si="13"/>
        <v>99000</v>
      </c>
      <c r="H164" s="236">
        <f t="shared" si="14"/>
        <v>109000</v>
      </c>
      <c r="I164" s="255">
        <v>1443000</v>
      </c>
      <c r="J164" s="256">
        <v>1587000</v>
      </c>
    </row>
    <row r="165" spans="1:10">
      <c r="A165" s="253">
        <v>161</v>
      </c>
      <c r="B165" s="254" t="s">
        <v>930</v>
      </c>
      <c r="C165" s="254">
        <v>1170400</v>
      </c>
      <c r="D165" s="236">
        <f t="shared" si="10"/>
        <v>1171000</v>
      </c>
      <c r="E165" s="236">
        <f t="shared" si="11"/>
        <v>1288000</v>
      </c>
      <c r="F165" s="236">
        <f t="shared" si="12"/>
        <v>1533000</v>
      </c>
      <c r="G165" s="236">
        <f t="shared" si="13"/>
        <v>1686000</v>
      </c>
      <c r="H165" s="236">
        <f t="shared" si="14"/>
        <v>1854000</v>
      </c>
      <c r="I165" s="255">
        <v>2208000</v>
      </c>
      <c r="J165" s="256">
        <v>2429000</v>
      </c>
    </row>
    <row r="166" spans="1:10">
      <c r="A166" s="253">
        <v>162</v>
      </c>
      <c r="B166" s="254" t="s">
        <v>931</v>
      </c>
      <c r="C166" s="254">
        <v>1459700.0000000002</v>
      </c>
      <c r="D166" s="236">
        <f t="shared" si="10"/>
        <v>1460000</v>
      </c>
      <c r="E166" s="236">
        <f t="shared" si="11"/>
        <v>1606000</v>
      </c>
      <c r="F166" s="236">
        <f t="shared" si="12"/>
        <v>1911000</v>
      </c>
      <c r="G166" s="236">
        <f t="shared" si="13"/>
        <v>2102000</v>
      </c>
      <c r="H166" s="236">
        <f t="shared" si="14"/>
        <v>2313000</v>
      </c>
      <c r="I166" s="255">
        <v>1443000</v>
      </c>
      <c r="J166" s="256">
        <v>1587000</v>
      </c>
    </row>
    <row r="167" spans="1:10">
      <c r="A167" s="253">
        <v>163</v>
      </c>
      <c r="B167" s="254" t="s">
        <v>932</v>
      </c>
      <c r="C167" s="254">
        <v>1635700.0000000002</v>
      </c>
      <c r="D167" s="236">
        <f t="shared" si="10"/>
        <v>1636000</v>
      </c>
      <c r="E167" s="236">
        <f t="shared" si="11"/>
        <v>1800000</v>
      </c>
      <c r="F167" s="236">
        <f t="shared" si="12"/>
        <v>2142000</v>
      </c>
      <c r="G167" s="236">
        <f t="shared" si="13"/>
        <v>2356000</v>
      </c>
      <c r="H167" s="236">
        <f t="shared" si="14"/>
        <v>2591000</v>
      </c>
      <c r="I167" s="255">
        <v>1443000</v>
      </c>
      <c r="J167" s="256">
        <v>1587000</v>
      </c>
    </row>
    <row r="168" spans="1:10">
      <c r="A168" s="253">
        <v>164</v>
      </c>
      <c r="B168" s="254" t="s">
        <v>933</v>
      </c>
      <c r="C168" s="254">
        <v>2011900.0000000002</v>
      </c>
      <c r="D168" s="236">
        <f t="shared" si="10"/>
        <v>2012000</v>
      </c>
      <c r="E168" s="236">
        <f t="shared" si="11"/>
        <v>2214000</v>
      </c>
      <c r="F168" s="236">
        <f t="shared" si="12"/>
        <v>2634000</v>
      </c>
      <c r="G168" s="236">
        <f t="shared" si="13"/>
        <v>2897000</v>
      </c>
      <c r="H168" s="236">
        <f t="shared" si="14"/>
        <v>3187000</v>
      </c>
      <c r="I168" s="255">
        <v>1443000</v>
      </c>
      <c r="J168" s="256">
        <v>1587000</v>
      </c>
    </row>
    <row r="169" spans="1:10">
      <c r="A169" s="253">
        <v>165</v>
      </c>
      <c r="B169" s="254" t="s">
        <v>934</v>
      </c>
      <c r="C169" s="254">
        <v>1711600.0000000002</v>
      </c>
      <c r="D169" s="236">
        <f t="shared" si="10"/>
        <v>1712000</v>
      </c>
      <c r="E169" s="236">
        <f t="shared" si="11"/>
        <v>1883000</v>
      </c>
      <c r="F169" s="236">
        <f t="shared" si="12"/>
        <v>2241000</v>
      </c>
      <c r="G169" s="236">
        <f t="shared" si="13"/>
        <v>2465000</v>
      </c>
      <c r="H169" s="236">
        <f t="shared" si="14"/>
        <v>2711000</v>
      </c>
      <c r="I169" s="255">
        <v>150000</v>
      </c>
      <c r="J169" s="256">
        <v>165000</v>
      </c>
    </row>
    <row r="170" spans="1:10">
      <c r="A170" s="253">
        <v>166</v>
      </c>
      <c r="B170" s="254" t="s">
        <v>290</v>
      </c>
      <c r="C170" s="254">
        <v>2147200</v>
      </c>
      <c r="D170" s="236">
        <f t="shared" si="10"/>
        <v>2148000</v>
      </c>
      <c r="E170" s="236">
        <f t="shared" si="11"/>
        <v>2362000</v>
      </c>
      <c r="F170" s="236">
        <f t="shared" si="12"/>
        <v>2811000</v>
      </c>
      <c r="G170" s="236">
        <f t="shared" si="13"/>
        <v>3092000</v>
      </c>
      <c r="H170" s="236">
        <f t="shared" si="14"/>
        <v>3401000</v>
      </c>
      <c r="I170" s="255">
        <v>232000</v>
      </c>
      <c r="J170" s="256">
        <v>255000</v>
      </c>
    </row>
    <row r="171" spans="1:10">
      <c r="A171" s="253">
        <v>167</v>
      </c>
      <c r="B171" s="254" t="s">
        <v>291</v>
      </c>
      <c r="C171" s="254">
        <v>1383800</v>
      </c>
      <c r="D171" s="236">
        <f t="shared" si="10"/>
        <v>1384000</v>
      </c>
      <c r="E171" s="236">
        <f t="shared" si="11"/>
        <v>1523000</v>
      </c>
      <c r="F171" s="236">
        <f t="shared" si="12"/>
        <v>1812000</v>
      </c>
      <c r="G171" s="236">
        <f t="shared" si="13"/>
        <v>1993000</v>
      </c>
      <c r="H171" s="236">
        <f t="shared" si="14"/>
        <v>2192000</v>
      </c>
      <c r="I171" s="255">
        <v>150000</v>
      </c>
      <c r="J171" s="256">
        <v>165000</v>
      </c>
    </row>
    <row r="172" spans="1:10">
      <c r="A172" s="253">
        <v>168</v>
      </c>
      <c r="B172" s="254" t="s">
        <v>935</v>
      </c>
      <c r="C172" s="254">
        <v>2890800.0000000005</v>
      </c>
      <c r="D172" s="236">
        <f t="shared" si="10"/>
        <v>2891000</v>
      </c>
      <c r="E172" s="236">
        <f t="shared" si="11"/>
        <v>3180000</v>
      </c>
      <c r="F172" s="236">
        <f t="shared" si="12"/>
        <v>3785000</v>
      </c>
      <c r="G172" s="236">
        <f t="shared" si="13"/>
        <v>4163000</v>
      </c>
      <c r="H172" s="236">
        <f t="shared" si="14"/>
        <v>4579000</v>
      </c>
      <c r="I172" s="255">
        <v>497000</v>
      </c>
      <c r="J172" s="256">
        <v>547000</v>
      </c>
    </row>
    <row r="173" spans="1:10">
      <c r="A173" s="253">
        <v>169</v>
      </c>
      <c r="B173" s="254" t="s">
        <v>292</v>
      </c>
      <c r="C173" s="254">
        <v>1734700.0000000002</v>
      </c>
      <c r="D173" s="236">
        <f t="shared" si="10"/>
        <v>1735000</v>
      </c>
      <c r="E173" s="236">
        <f t="shared" si="11"/>
        <v>1909000</v>
      </c>
      <c r="F173" s="236">
        <f t="shared" si="12"/>
        <v>2271000</v>
      </c>
      <c r="G173" s="236">
        <f t="shared" si="13"/>
        <v>2498000</v>
      </c>
      <c r="H173" s="236">
        <f t="shared" si="14"/>
        <v>2748000</v>
      </c>
      <c r="I173" s="255">
        <v>2104000</v>
      </c>
      <c r="J173" s="256">
        <v>2315000</v>
      </c>
    </row>
    <row r="174" spans="1:10">
      <c r="A174" s="253">
        <v>170</v>
      </c>
      <c r="B174" s="254" t="s">
        <v>936</v>
      </c>
      <c r="C174" s="254">
        <v>2234100</v>
      </c>
      <c r="D174" s="236">
        <f t="shared" si="10"/>
        <v>2235000</v>
      </c>
      <c r="E174" s="236">
        <f t="shared" si="11"/>
        <v>2458000</v>
      </c>
      <c r="F174" s="236">
        <f t="shared" si="12"/>
        <v>2925000</v>
      </c>
      <c r="G174" s="236">
        <f t="shared" si="13"/>
        <v>3217000</v>
      </c>
      <c r="H174" s="236">
        <f t="shared" si="14"/>
        <v>3539000</v>
      </c>
      <c r="I174" s="255">
        <v>1263000</v>
      </c>
      <c r="J174" s="256">
        <v>1389000</v>
      </c>
    </row>
    <row r="175" spans="1:10">
      <c r="A175" s="253">
        <v>171</v>
      </c>
      <c r="B175" s="254" t="s">
        <v>779</v>
      </c>
      <c r="C175" s="254">
        <v>68200</v>
      </c>
      <c r="D175" s="236">
        <f t="shared" si="10"/>
        <v>69000</v>
      </c>
      <c r="E175" s="236">
        <f t="shared" si="11"/>
        <v>76000</v>
      </c>
      <c r="F175" s="236">
        <f t="shared" si="12"/>
        <v>90000</v>
      </c>
      <c r="G175" s="236">
        <f t="shared" si="13"/>
        <v>99000</v>
      </c>
      <c r="H175" s="236">
        <f t="shared" si="14"/>
        <v>109000</v>
      </c>
      <c r="I175" s="255">
        <v>1578000</v>
      </c>
      <c r="J175" s="256">
        <v>1736000</v>
      </c>
    </row>
    <row r="176" spans="1:10">
      <c r="A176" s="253">
        <v>172</v>
      </c>
      <c r="B176" s="254" t="s">
        <v>937</v>
      </c>
      <c r="C176" s="254">
        <v>1372800</v>
      </c>
      <c r="D176" s="236">
        <f t="shared" si="10"/>
        <v>1373000</v>
      </c>
      <c r="E176" s="236">
        <f t="shared" si="11"/>
        <v>1511000</v>
      </c>
      <c r="F176" s="236">
        <f t="shared" si="12"/>
        <v>1797000</v>
      </c>
      <c r="G176" s="236">
        <f t="shared" si="13"/>
        <v>1977000</v>
      </c>
      <c r="H176" s="236">
        <f t="shared" si="14"/>
        <v>2175000</v>
      </c>
      <c r="I176" s="255">
        <v>1158000</v>
      </c>
      <c r="J176" s="256">
        <v>1273000</v>
      </c>
    </row>
    <row r="177" spans="1:10">
      <c r="A177" s="253">
        <v>173</v>
      </c>
      <c r="B177" s="254" t="s">
        <v>938</v>
      </c>
      <c r="C177" s="254">
        <v>1853500.0000000002</v>
      </c>
      <c r="D177" s="236">
        <f t="shared" si="10"/>
        <v>1854000</v>
      </c>
      <c r="E177" s="236">
        <f t="shared" si="11"/>
        <v>2039000</v>
      </c>
      <c r="F177" s="236">
        <f t="shared" si="12"/>
        <v>2427000</v>
      </c>
      <c r="G177" s="236">
        <f t="shared" si="13"/>
        <v>2669000</v>
      </c>
      <c r="H177" s="236">
        <f t="shared" si="14"/>
        <v>2936000</v>
      </c>
      <c r="I177" s="255">
        <v>1684000</v>
      </c>
      <c r="J177" s="256">
        <v>1852000</v>
      </c>
    </row>
    <row r="178" spans="1:10">
      <c r="A178" s="253">
        <v>174</v>
      </c>
      <c r="B178" s="254" t="s">
        <v>1521</v>
      </c>
      <c r="C178" s="254">
        <v>2753300</v>
      </c>
      <c r="D178" s="236">
        <f t="shared" si="10"/>
        <v>2754000</v>
      </c>
      <c r="E178" s="236">
        <f t="shared" si="11"/>
        <v>3029000</v>
      </c>
      <c r="F178" s="236">
        <f t="shared" si="12"/>
        <v>3605000</v>
      </c>
      <c r="G178" s="236">
        <f t="shared" si="13"/>
        <v>3965000</v>
      </c>
      <c r="H178" s="236">
        <f t="shared" si="14"/>
        <v>4361000</v>
      </c>
      <c r="I178" s="255">
        <v>1097000</v>
      </c>
      <c r="J178" s="256">
        <v>1207000</v>
      </c>
    </row>
    <row r="179" spans="1:10">
      <c r="A179" s="253">
        <v>175</v>
      </c>
      <c r="B179" s="254" t="s">
        <v>1522</v>
      </c>
      <c r="C179" s="254">
        <v>1903000.0000000002</v>
      </c>
      <c r="D179" s="236">
        <f t="shared" si="10"/>
        <v>1903000</v>
      </c>
      <c r="E179" s="236">
        <f t="shared" si="11"/>
        <v>2094000</v>
      </c>
      <c r="F179" s="236">
        <f t="shared" si="12"/>
        <v>2492000</v>
      </c>
      <c r="G179" s="236">
        <f t="shared" si="13"/>
        <v>2741000</v>
      </c>
      <c r="H179" s="236">
        <f t="shared" si="14"/>
        <v>3015000</v>
      </c>
      <c r="I179" s="255">
        <v>1189000</v>
      </c>
      <c r="J179" s="256">
        <v>1307000</v>
      </c>
    </row>
    <row r="180" spans="1:10">
      <c r="A180" s="253">
        <v>176</v>
      </c>
      <c r="B180" s="254" t="s">
        <v>1523</v>
      </c>
      <c r="C180" s="254">
        <v>1878800.0000000002</v>
      </c>
      <c r="D180" s="236">
        <f t="shared" si="10"/>
        <v>1879000</v>
      </c>
      <c r="E180" s="236">
        <f t="shared" si="11"/>
        <v>2067000</v>
      </c>
      <c r="F180" s="236">
        <f t="shared" si="12"/>
        <v>2460000</v>
      </c>
      <c r="G180" s="236">
        <f t="shared" si="13"/>
        <v>2706000</v>
      </c>
      <c r="H180" s="236">
        <f t="shared" si="14"/>
        <v>2976000</v>
      </c>
      <c r="I180" s="255">
        <v>1086000</v>
      </c>
      <c r="J180" s="256">
        <v>1195000</v>
      </c>
    </row>
    <row r="181" spans="1:10">
      <c r="A181" s="253">
        <v>177</v>
      </c>
      <c r="B181" s="254" t="s">
        <v>1524</v>
      </c>
      <c r="C181" s="254">
        <v>1339800</v>
      </c>
      <c r="D181" s="236">
        <f t="shared" si="10"/>
        <v>1340000</v>
      </c>
      <c r="E181" s="236">
        <f t="shared" si="11"/>
        <v>1474000</v>
      </c>
      <c r="F181" s="236">
        <f t="shared" si="12"/>
        <v>1754000</v>
      </c>
      <c r="G181" s="236">
        <f t="shared" si="13"/>
        <v>1930000</v>
      </c>
      <c r="H181" s="236">
        <f t="shared" si="14"/>
        <v>2123000</v>
      </c>
      <c r="I181" s="255">
        <v>1137000</v>
      </c>
      <c r="J181" s="256">
        <v>1250000</v>
      </c>
    </row>
    <row r="182" spans="1:10">
      <c r="A182" s="253">
        <v>178</v>
      </c>
      <c r="B182" s="254" t="s">
        <v>940</v>
      </c>
      <c r="C182" s="254">
        <v>498300.00000000006</v>
      </c>
      <c r="D182" s="236">
        <f t="shared" si="10"/>
        <v>499000</v>
      </c>
      <c r="E182" s="236">
        <f t="shared" si="11"/>
        <v>549000</v>
      </c>
      <c r="F182" s="236">
        <f t="shared" si="12"/>
        <v>653000</v>
      </c>
      <c r="G182" s="236">
        <f t="shared" si="13"/>
        <v>718000</v>
      </c>
      <c r="H182" s="236">
        <f t="shared" si="14"/>
        <v>790000</v>
      </c>
      <c r="I182" s="255">
        <v>1422000</v>
      </c>
      <c r="J182" s="256">
        <v>1564000</v>
      </c>
    </row>
    <row r="183" spans="1:10">
      <c r="A183" s="253">
        <v>179</v>
      </c>
      <c r="B183" s="254" t="s">
        <v>941</v>
      </c>
      <c r="C183" s="254">
        <v>1331000</v>
      </c>
      <c r="D183" s="236">
        <f t="shared" si="10"/>
        <v>1331000</v>
      </c>
      <c r="E183" s="236">
        <f t="shared" si="11"/>
        <v>1465000</v>
      </c>
      <c r="F183" s="236">
        <f t="shared" si="12"/>
        <v>1743000</v>
      </c>
      <c r="G183" s="236">
        <f t="shared" si="13"/>
        <v>1917000</v>
      </c>
      <c r="H183" s="236">
        <f t="shared" si="14"/>
        <v>2109000</v>
      </c>
      <c r="I183" s="255">
        <v>1422000</v>
      </c>
      <c r="J183" s="256">
        <v>1564000</v>
      </c>
    </row>
    <row r="184" spans="1:10">
      <c r="A184" s="253">
        <v>180</v>
      </c>
      <c r="B184" s="254" t="s">
        <v>942</v>
      </c>
      <c r="C184" s="254">
        <v>1219900</v>
      </c>
      <c r="D184" s="236">
        <f t="shared" si="10"/>
        <v>1220000</v>
      </c>
      <c r="E184" s="236">
        <f t="shared" si="11"/>
        <v>1342000</v>
      </c>
      <c r="F184" s="236">
        <f t="shared" si="12"/>
        <v>1597000</v>
      </c>
      <c r="G184" s="236">
        <f t="shared" si="13"/>
        <v>1757000</v>
      </c>
      <c r="H184" s="236">
        <f t="shared" si="14"/>
        <v>1933000</v>
      </c>
      <c r="I184" s="255">
        <v>1422000</v>
      </c>
      <c r="J184" s="256">
        <v>1564000</v>
      </c>
    </row>
    <row r="185" spans="1:10">
      <c r="A185" s="253">
        <v>181</v>
      </c>
      <c r="B185" s="254" t="s">
        <v>943</v>
      </c>
      <c r="C185" s="254">
        <v>935000.00000000012</v>
      </c>
      <c r="D185" s="236">
        <f t="shared" si="10"/>
        <v>935000</v>
      </c>
      <c r="E185" s="236">
        <f t="shared" si="11"/>
        <v>1029000</v>
      </c>
      <c r="F185" s="236">
        <f t="shared" si="12"/>
        <v>1224000</v>
      </c>
      <c r="G185" s="236">
        <f t="shared" si="13"/>
        <v>1347000</v>
      </c>
      <c r="H185" s="236">
        <f t="shared" si="14"/>
        <v>1481000</v>
      </c>
      <c r="I185" s="257"/>
      <c r="J185" s="258"/>
    </row>
    <row r="186" spans="1:10">
      <c r="A186" s="253">
        <v>182</v>
      </c>
      <c r="B186" s="254" t="s">
        <v>944</v>
      </c>
      <c r="C186" s="254">
        <v>1338700</v>
      </c>
      <c r="D186" s="236">
        <f t="shared" si="10"/>
        <v>1339000</v>
      </c>
      <c r="E186" s="236">
        <f t="shared" si="11"/>
        <v>1473000</v>
      </c>
      <c r="F186" s="236">
        <f t="shared" si="12"/>
        <v>1753000</v>
      </c>
      <c r="G186" s="236">
        <f t="shared" si="13"/>
        <v>1928000</v>
      </c>
      <c r="H186" s="236">
        <f t="shared" si="14"/>
        <v>2121000</v>
      </c>
      <c r="I186" s="257"/>
      <c r="J186" s="258"/>
    </row>
    <row r="187" spans="1:10">
      <c r="A187" s="253">
        <v>183</v>
      </c>
      <c r="B187" s="254" t="s">
        <v>1525</v>
      </c>
      <c r="C187" s="254">
        <v>554400</v>
      </c>
      <c r="D187" s="236">
        <f t="shared" si="10"/>
        <v>555000</v>
      </c>
      <c r="E187" s="236">
        <f t="shared" si="11"/>
        <v>610000</v>
      </c>
      <c r="F187" s="236">
        <f t="shared" si="12"/>
        <v>726000</v>
      </c>
      <c r="G187" s="236">
        <f t="shared" si="13"/>
        <v>799000</v>
      </c>
      <c r="H187" s="236">
        <f t="shared" si="14"/>
        <v>879000</v>
      </c>
      <c r="I187" s="257"/>
      <c r="J187" s="258"/>
    </row>
    <row r="188" spans="1:10">
      <c r="A188" s="253">
        <v>184</v>
      </c>
      <c r="B188" s="254" t="s">
        <v>945</v>
      </c>
      <c r="C188" s="254">
        <v>1338700</v>
      </c>
      <c r="D188" s="236">
        <f t="shared" si="10"/>
        <v>1339000</v>
      </c>
      <c r="E188" s="236">
        <f t="shared" si="11"/>
        <v>1473000</v>
      </c>
      <c r="F188" s="236">
        <f t="shared" si="12"/>
        <v>1753000</v>
      </c>
      <c r="G188" s="236">
        <f t="shared" si="13"/>
        <v>1928000</v>
      </c>
      <c r="H188" s="236">
        <f t="shared" si="14"/>
        <v>2121000</v>
      </c>
      <c r="I188" s="257"/>
      <c r="J188" s="258"/>
    </row>
    <row r="189" spans="1:10">
      <c r="A189" s="253">
        <v>185</v>
      </c>
      <c r="B189" s="254" t="s">
        <v>946</v>
      </c>
      <c r="C189" s="254">
        <v>2226400</v>
      </c>
      <c r="D189" s="236">
        <f t="shared" si="10"/>
        <v>2227000</v>
      </c>
      <c r="E189" s="236">
        <f t="shared" si="11"/>
        <v>2450000</v>
      </c>
      <c r="F189" s="236">
        <f t="shared" si="12"/>
        <v>2915000</v>
      </c>
      <c r="G189" s="236">
        <f t="shared" si="13"/>
        <v>3206000</v>
      </c>
      <c r="H189" s="236">
        <f t="shared" si="14"/>
        <v>3527000</v>
      </c>
      <c r="I189" s="257"/>
      <c r="J189" s="258"/>
    </row>
    <row r="190" spans="1:10">
      <c r="A190" s="253">
        <v>186</v>
      </c>
      <c r="B190" s="254" t="s">
        <v>947</v>
      </c>
      <c r="C190" s="254">
        <v>8003600.0000000009</v>
      </c>
      <c r="D190" s="236">
        <f t="shared" si="10"/>
        <v>8004000</v>
      </c>
      <c r="E190" s="236">
        <f t="shared" si="11"/>
        <v>8804000</v>
      </c>
      <c r="F190" s="236">
        <f t="shared" si="12"/>
        <v>10477000</v>
      </c>
      <c r="G190" s="236">
        <f t="shared" si="13"/>
        <v>11525000</v>
      </c>
      <c r="H190" s="236">
        <f t="shared" si="14"/>
        <v>12677000</v>
      </c>
      <c r="I190" s="257"/>
      <c r="J190" s="258"/>
    </row>
    <row r="191" spans="1:10">
      <c r="A191" s="253">
        <v>187</v>
      </c>
      <c r="B191" s="254" t="s">
        <v>948</v>
      </c>
      <c r="C191" s="254">
        <v>649000</v>
      </c>
      <c r="D191" s="236">
        <f t="shared" si="10"/>
        <v>649000</v>
      </c>
      <c r="E191" s="236">
        <f t="shared" si="11"/>
        <v>714000</v>
      </c>
      <c r="F191" s="236">
        <f t="shared" si="12"/>
        <v>850000</v>
      </c>
      <c r="G191" s="236">
        <f t="shared" si="13"/>
        <v>935000</v>
      </c>
      <c r="H191" s="236">
        <f t="shared" si="14"/>
        <v>1028000</v>
      </c>
      <c r="I191" s="257"/>
      <c r="J191" s="258"/>
    </row>
    <row r="192" spans="1:10">
      <c r="A192" s="253">
        <v>188</v>
      </c>
      <c r="B192" s="254" t="s">
        <v>1526</v>
      </c>
      <c r="C192" s="254">
        <v>858000.00000000012</v>
      </c>
      <c r="D192" s="236">
        <f t="shared" si="10"/>
        <v>858000</v>
      </c>
      <c r="E192" s="236">
        <f t="shared" si="11"/>
        <v>944000</v>
      </c>
      <c r="F192" s="236">
        <f t="shared" si="12"/>
        <v>1124000</v>
      </c>
      <c r="G192" s="236">
        <f t="shared" si="13"/>
        <v>1236000</v>
      </c>
      <c r="H192" s="236">
        <f t="shared" si="14"/>
        <v>1359000</v>
      </c>
      <c r="I192" s="257"/>
      <c r="J192" s="258"/>
    </row>
    <row r="193" spans="1:10">
      <c r="A193" s="253">
        <v>189</v>
      </c>
      <c r="B193" s="254" t="s">
        <v>194</v>
      </c>
      <c r="C193" s="254">
        <v>674300</v>
      </c>
      <c r="D193" s="236">
        <f t="shared" si="10"/>
        <v>675000</v>
      </c>
      <c r="E193" s="236">
        <f t="shared" si="11"/>
        <v>742000</v>
      </c>
      <c r="F193" s="236">
        <f t="shared" si="12"/>
        <v>883000</v>
      </c>
      <c r="G193" s="236">
        <f t="shared" si="13"/>
        <v>971000</v>
      </c>
      <c r="H193" s="236">
        <f t="shared" si="14"/>
        <v>1069000</v>
      </c>
      <c r="I193" s="257"/>
      <c r="J193" s="258"/>
    </row>
    <row r="194" spans="1:10">
      <c r="A194" s="253">
        <v>190</v>
      </c>
      <c r="B194" s="254" t="s">
        <v>1527</v>
      </c>
      <c r="C194" s="254">
        <v>162800</v>
      </c>
      <c r="D194" s="236">
        <f t="shared" si="10"/>
        <v>163000</v>
      </c>
      <c r="E194" s="236">
        <f t="shared" si="11"/>
        <v>180000</v>
      </c>
      <c r="F194" s="236">
        <f t="shared" si="12"/>
        <v>214000</v>
      </c>
      <c r="G194" s="236">
        <f t="shared" si="13"/>
        <v>235000</v>
      </c>
      <c r="H194" s="236">
        <f t="shared" si="14"/>
        <v>258000</v>
      </c>
      <c r="I194" s="257"/>
      <c r="J194" s="258"/>
    </row>
    <row r="195" spans="1:10">
      <c r="A195" s="253">
        <v>191</v>
      </c>
      <c r="B195" s="254" t="s">
        <v>149</v>
      </c>
      <c r="C195" s="254">
        <v>238700.00000000003</v>
      </c>
      <c r="D195" s="236">
        <f t="shared" si="10"/>
        <v>239000</v>
      </c>
      <c r="E195" s="236">
        <f t="shared" si="11"/>
        <v>263000</v>
      </c>
      <c r="F195" s="236">
        <f t="shared" si="12"/>
        <v>313000</v>
      </c>
      <c r="G195" s="236">
        <f t="shared" si="13"/>
        <v>344000</v>
      </c>
      <c r="H195" s="236">
        <f t="shared" si="14"/>
        <v>379000</v>
      </c>
      <c r="I195" s="257"/>
      <c r="J195" s="258"/>
    </row>
    <row r="196" spans="1:10">
      <c r="A196" s="253">
        <v>192</v>
      </c>
      <c r="B196" s="254" t="s">
        <v>286</v>
      </c>
      <c r="C196" s="254">
        <v>94600.000000000015</v>
      </c>
      <c r="D196" s="236">
        <f t="shared" si="10"/>
        <v>95000</v>
      </c>
      <c r="E196" s="236">
        <f t="shared" si="11"/>
        <v>105000</v>
      </c>
      <c r="F196" s="236">
        <f t="shared" si="12"/>
        <v>124000</v>
      </c>
      <c r="G196" s="236">
        <f t="shared" si="13"/>
        <v>137000</v>
      </c>
      <c r="H196" s="236">
        <f t="shared" si="14"/>
        <v>150000</v>
      </c>
      <c r="I196" s="257"/>
      <c r="J196" s="258"/>
    </row>
    <row r="197" spans="1:10">
      <c r="A197" s="253">
        <v>193</v>
      </c>
      <c r="B197" s="254" t="s">
        <v>949</v>
      </c>
      <c r="C197" s="254">
        <v>430100.00000000006</v>
      </c>
      <c r="D197" s="236">
        <f t="shared" si="10"/>
        <v>431000</v>
      </c>
      <c r="E197" s="236">
        <f t="shared" si="11"/>
        <v>474000</v>
      </c>
      <c r="F197" s="236">
        <f t="shared" si="12"/>
        <v>564000</v>
      </c>
      <c r="G197" s="236">
        <f t="shared" si="13"/>
        <v>620000</v>
      </c>
      <c r="H197" s="236">
        <f t="shared" si="14"/>
        <v>682000</v>
      </c>
      <c r="I197" s="257"/>
      <c r="J197" s="258"/>
    </row>
    <row r="198" spans="1:10">
      <c r="A198" s="253">
        <v>194</v>
      </c>
      <c r="B198" s="254" t="s">
        <v>950</v>
      </c>
      <c r="C198" s="254">
        <v>1334300</v>
      </c>
      <c r="D198" s="236">
        <f t="shared" ref="D198:D261" si="15">ROUNDUP(C198,-3)</f>
        <v>1335000</v>
      </c>
      <c r="E198" s="236">
        <f t="shared" ref="E198:E261" si="16">ROUNDUP($C198*1.1,-3)</f>
        <v>1468000</v>
      </c>
      <c r="F198" s="236">
        <f t="shared" ref="F198:F261" si="17">ROUNDUP($C198*1.1*1.19,-3)</f>
        <v>1747000</v>
      </c>
      <c r="G198" s="236">
        <f t="shared" ref="G198:G261" si="18">ROUNDUP($C198*1.1*1.19*1.1,-3)</f>
        <v>1922000</v>
      </c>
      <c r="H198" s="236">
        <f t="shared" ref="H198:H261" si="19">ROUNDUP($C198*1.1*1.19*1.1*1.1,-3)</f>
        <v>2114000</v>
      </c>
      <c r="I198" s="257"/>
      <c r="J198" s="258"/>
    </row>
    <row r="199" spans="1:10">
      <c r="A199" s="253">
        <v>195</v>
      </c>
      <c r="B199" s="254" t="s">
        <v>951</v>
      </c>
      <c r="C199" s="254">
        <v>1334300</v>
      </c>
      <c r="D199" s="236">
        <f t="shared" si="15"/>
        <v>1335000</v>
      </c>
      <c r="E199" s="236">
        <f t="shared" si="16"/>
        <v>1468000</v>
      </c>
      <c r="F199" s="236">
        <f t="shared" si="17"/>
        <v>1747000</v>
      </c>
      <c r="G199" s="236">
        <f t="shared" si="18"/>
        <v>1922000</v>
      </c>
      <c r="H199" s="236">
        <f t="shared" si="19"/>
        <v>2114000</v>
      </c>
      <c r="I199" s="257"/>
      <c r="J199" s="258"/>
    </row>
    <row r="200" spans="1:10">
      <c r="A200" s="253">
        <v>196</v>
      </c>
      <c r="B200" s="254" t="s">
        <v>952</v>
      </c>
      <c r="C200" s="254">
        <v>1334300</v>
      </c>
      <c r="D200" s="236">
        <f t="shared" si="15"/>
        <v>1335000</v>
      </c>
      <c r="E200" s="236">
        <f t="shared" si="16"/>
        <v>1468000</v>
      </c>
      <c r="F200" s="236">
        <f t="shared" si="17"/>
        <v>1747000</v>
      </c>
      <c r="G200" s="236">
        <f t="shared" si="18"/>
        <v>1922000</v>
      </c>
      <c r="H200" s="236">
        <f t="shared" si="19"/>
        <v>2114000</v>
      </c>
      <c r="I200" s="257"/>
      <c r="J200" s="258"/>
    </row>
    <row r="201" spans="1:10">
      <c r="A201" s="253">
        <v>197</v>
      </c>
      <c r="B201" s="254" t="s">
        <v>953</v>
      </c>
      <c r="C201" s="254">
        <v>1334300</v>
      </c>
      <c r="D201" s="236">
        <f t="shared" si="15"/>
        <v>1335000</v>
      </c>
      <c r="E201" s="236">
        <f t="shared" si="16"/>
        <v>1468000</v>
      </c>
      <c r="F201" s="236">
        <f t="shared" si="17"/>
        <v>1747000</v>
      </c>
      <c r="G201" s="236">
        <f t="shared" si="18"/>
        <v>1922000</v>
      </c>
      <c r="H201" s="236">
        <f t="shared" si="19"/>
        <v>2114000</v>
      </c>
      <c r="I201" s="257"/>
      <c r="J201" s="258"/>
    </row>
    <row r="202" spans="1:10">
      <c r="A202" s="253">
        <v>198</v>
      </c>
      <c r="B202" s="254" t="s">
        <v>1528</v>
      </c>
      <c r="C202" s="254">
        <v>1270500</v>
      </c>
      <c r="D202" s="236">
        <f t="shared" si="15"/>
        <v>1271000</v>
      </c>
      <c r="E202" s="236">
        <f t="shared" si="16"/>
        <v>1398000</v>
      </c>
      <c r="F202" s="236">
        <f t="shared" si="17"/>
        <v>1664000</v>
      </c>
      <c r="G202" s="236">
        <f t="shared" si="18"/>
        <v>1830000</v>
      </c>
      <c r="H202" s="236">
        <f t="shared" si="19"/>
        <v>2013000</v>
      </c>
      <c r="I202" s="257"/>
      <c r="J202" s="258"/>
    </row>
    <row r="203" spans="1:10">
      <c r="A203" s="253">
        <v>199</v>
      </c>
      <c r="B203" s="254" t="s">
        <v>955</v>
      </c>
      <c r="C203" s="254">
        <v>1334300</v>
      </c>
      <c r="D203" s="236">
        <f t="shared" si="15"/>
        <v>1335000</v>
      </c>
      <c r="E203" s="236">
        <f t="shared" si="16"/>
        <v>1468000</v>
      </c>
      <c r="F203" s="236">
        <f t="shared" si="17"/>
        <v>1747000</v>
      </c>
      <c r="G203" s="236">
        <f t="shared" si="18"/>
        <v>1922000</v>
      </c>
      <c r="H203" s="236">
        <f t="shared" si="19"/>
        <v>2114000</v>
      </c>
      <c r="I203" s="257"/>
      <c r="J203" s="258"/>
    </row>
    <row r="204" spans="1:10">
      <c r="A204" s="253">
        <v>200</v>
      </c>
      <c r="B204" s="254" t="s">
        <v>956</v>
      </c>
      <c r="C204" s="254">
        <v>1334300</v>
      </c>
      <c r="D204" s="236">
        <f t="shared" si="15"/>
        <v>1335000</v>
      </c>
      <c r="E204" s="236">
        <f t="shared" si="16"/>
        <v>1468000</v>
      </c>
      <c r="F204" s="236">
        <f t="shared" si="17"/>
        <v>1747000</v>
      </c>
      <c r="G204" s="236">
        <f t="shared" si="18"/>
        <v>1922000</v>
      </c>
      <c r="H204" s="236">
        <f t="shared" si="19"/>
        <v>2114000</v>
      </c>
      <c r="I204" s="257"/>
      <c r="J204" s="258"/>
    </row>
    <row r="205" spans="1:10">
      <c r="A205" s="253">
        <v>201</v>
      </c>
      <c r="B205" s="254" t="s">
        <v>957</v>
      </c>
      <c r="C205" s="254">
        <v>1334300</v>
      </c>
      <c r="D205" s="236">
        <f t="shared" si="15"/>
        <v>1335000</v>
      </c>
      <c r="E205" s="236">
        <f t="shared" si="16"/>
        <v>1468000</v>
      </c>
      <c r="F205" s="236">
        <f t="shared" si="17"/>
        <v>1747000</v>
      </c>
      <c r="G205" s="236">
        <f t="shared" si="18"/>
        <v>1922000</v>
      </c>
      <c r="H205" s="236">
        <f t="shared" si="19"/>
        <v>2114000</v>
      </c>
      <c r="I205" s="257"/>
      <c r="J205" s="258"/>
    </row>
    <row r="206" spans="1:10">
      <c r="A206" s="253">
        <v>202</v>
      </c>
      <c r="B206" s="254" t="s">
        <v>958</v>
      </c>
      <c r="C206" s="254">
        <v>1362900</v>
      </c>
      <c r="D206" s="236">
        <f t="shared" si="15"/>
        <v>1363000</v>
      </c>
      <c r="E206" s="236">
        <f t="shared" si="16"/>
        <v>1500000</v>
      </c>
      <c r="F206" s="236">
        <f t="shared" si="17"/>
        <v>1785000</v>
      </c>
      <c r="G206" s="236">
        <f t="shared" si="18"/>
        <v>1963000</v>
      </c>
      <c r="H206" s="236">
        <f t="shared" si="19"/>
        <v>2159000</v>
      </c>
      <c r="I206" s="257"/>
      <c r="J206" s="258"/>
    </row>
    <row r="207" spans="1:10">
      <c r="A207" s="253">
        <v>203</v>
      </c>
      <c r="B207" s="254" t="s">
        <v>959</v>
      </c>
      <c r="C207" s="254">
        <v>1334300</v>
      </c>
      <c r="D207" s="236">
        <f t="shared" si="15"/>
        <v>1335000</v>
      </c>
      <c r="E207" s="236">
        <f t="shared" si="16"/>
        <v>1468000</v>
      </c>
      <c r="F207" s="236">
        <f t="shared" si="17"/>
        <v>1747000</v>
      </c>
      <c r="G207" s="236">
        <f t="shared" si="18"/>
        <v>1922000</v>
      </c>
      <c r="H207" s="236">
        <f t="shared" si="19"/>
        <v>2114000</v>
      </c>
      <c r="I207" s="257"/>
      <c r="J207" s="258"/>
    </row>
    <row r="208" spans="1:10">
      <c r="A208" s="253">
        <v>204</v>
      </c>
      <c r="B208" s="254" t="s">
        <v>960</v>
      </c>
      <c r="C208" s="254">
        <v>1334300</v>
      </c>
      <c r="D208" s="236">
        <f t="shared" si="15"/>
        <v>1335000</v>
      </c>
      <c r="E208" s="236">
        <f t="shared" si="16"/>
        <v>1468000</v>
      </c>
      <c r="F208" s="236">
        <f t="shared" si="17"/>
        <v>1747000</v>
      </c>
      <c r="G208" s="236">
        <f t="shared" si="18"/>
        <v>1922000</v>
      </c>
      <c r="H208" s="236">
        <f t="shared" si="19"/>
        <v>2114000</v>
      </c>
      <c r="I208" s="257"/>
      <c r="J208" s="258"/>
    </row>
    <row r="209" spans="1:10">
      <c r="A209" s="253">
        <v>205</v>
      </c>
      <c r="B209" s="254" t="s">
        <v>273</v>
      </c>
      <c r="C209" s="254">
        <v>1394800</v>
      </c>
      <c r="D209" s="236">
        <f t="shared" si="15"/>
        <v>1395000</v>
      </c>
      <c r="E209" s="236">
        <f t="shared" si="16"/>
        <v>1535000</v>
      </c>
      <c r="F209" s="236">
        <f t="shared" si="17"/>
        <v>1826000</v>
      </c>
      <c r="G209" s="236">
        <f t="shared" si="18"/>
        <v>2009000</v>
      </c>
      <c r="H209" s="236">
        <f t="shared" si="19"/>
        <v>2210000</v>
      </c>
      <c r="I209" s="257"/>
      <c r="J209" s="258"/>
    </row>
    <row r="210" spans="1:10">
      <c r="A210" s="253">
        <v>206</v>
      </c>
      <c r="B210" s="254" t="s">
        <v>274</v>
      </c>
      <c r="C210" s="254">
        <v>1394800</v>
      </c>
      <c r="D210" s="236">
        <f t="shared" si="15"/>
        <v>1395000</v>
      </c>
      <c r="E210" s="236">
        <f t="shared" si="16"/>
        <v>1535000</v>
      </c>
      <c r="F210" s="236">
        <f t="shared" si="17"/>
        <v>1826000</v>
      </c>
      <c r="G210" s="236">
        <f t="shared" si="18"/>
        <v>2009000</v>
      </c>
      <c r="H210" s="236">
        <f t="shared" si="19"/>
        <v>2210000</v>
      </c>
      <c r="I210" s="257"/>
      <c r="J210" s="258"/>
    </row>
    <row r="211" spans="1:10">
      <c r="A211" s="253">
        <v>207</v>
      </c>
      <c r="B211" s="254" t="s">
        <v>275</v>
      </c>
      <c r="C211" s="254">
        <v>952600.00000000012</v>
      </c>
      <c r="D211" s="236">
        <f t="shared" si="15"/>
        <v>953000</v>
      </c>
      <c r="E211" s="236">
        <f t="shared" si="16"/>
        <v>1048000</v>
      </c>
      <c r="F211" s="236">
        <f t="shared" si="17"/>
        <v>1247000</v>
      </c>
      <c r="G211" s="236">
        <f t="shared" si="18"/>
        <v>1372000</v>
      </c>
      <c r="H211" s="236">
        <f t="shared" si="19"/>
        <v>1509000</v>
      </c>
      <c r="I211" s="257"/>
      <c r="J211" s="258"/>
    </row>
    <row r="212" spans="1:10">
      <c r="A212" s="253">
        <v>208</v>
      </c>
      <c r="B212" s="254" t="s">
        <v>276</v>
      </c>
      <c r="C212" s="254">
        <v>910800.00000000012</v>
      </c>
      <c r="D212" s="236">
        <f t="shared" si="15"/>
        <v>911000</v>
      </c>
      <c r="E212" s="236">
        <f t="shared" si="16"/>
        <v>1002000</v>
      </c>
      <c r="F212" s="236">
        <f t="shared" si="17"/>
        <v>1193000</v>
      </c>
      <c r="G212" s="236">
        <f t="shared" si="18"/>
        <v>1312000</v>
      </c>
      <c r="H212" s="236">
        <f t="shared" si="19"/>
        <v>1443000</v>
      </c>
      <c r="I212" s="257"/>
      <c r="J212" s="258"/>
    </row>
    <row r="213" spans="1:10">
      <c r="A213" s="253">
        <v>209</v>
      </c>
      <c r="B213" s="254" t="s">
        <v>277</v>
      </c>
      <c r="C213" s="254">
        <v>910800.00000000012</v>
      </c>
      <c r="D213" s="236">
        <f t="shared" si="15"/>
        <v>911000</v>
      </c>
      <c r="E213" s="236">
        <f t="shared" si="16"/>
        <v>1002000</v>
      </c>
      <c r="F213" s="236">
        <f t="shared" si="17"/>
        <v>1193000</v>
      </c>
      <c r="G213" s="236">
        <f t="shared" si="18"/>
        <v>1312000</v>
      </c>
      <c r="H213" s="236">
        <f t="shared" si="19"/>
        <v>1443000</v>
      </c>
      <c r="I213" s="257"/>
      <c r="J213" s="258"/>
    </row>
    <row r="214" spans="1:10">
      <c r="A214" s="253">
        <v>210</v>
      </c>
      <c r="B214" s="254" t="s">
        <v>278</v>
      </c>
      <c r="C214" s="254">
        <v>1394800</v>
      </c>
      <c r="D214" s="236">
        <f t="shared" si="15"/>
        <v>1395000</v>
      </c>
      <c r="E214" s="236">
        <f t="shared" si="16"/>
        <v>1535000</v>
      </c>
      <c r="F214" s="236">
        <f t="shared" si="17"/>
        <v>1826000</v>
      </c>
      <c r="G214" s="236">
        <f t="shared" si="18"/>
        <v>2009000</v>
      </c>
      <c r="H214" s="236">
        <f t="shared" si="19"/>
        <v>2210000</v>
      </c>
      <c r="I214" s="257"/>
      <c r="J214" s="258"/>
    </row>
    <row r="215" spans="1:10">
      <c r="A215" s="253">
        <v>211</v>
      </c>
      <c r="B215" s="254" t="s">
        <v>279</v>
      </c>
      <c r="C215" s="254">
        <v>910800.00000000012</v>
      </c>
      <c r="D215" s="236">
        <f t="shared" si="15"/>
        <v>911000</v>
      </c>
      <c r="E215" s="236">
        <f t="shared" si="16"/>
        <v>1002000</v>
      </c>
      <c r="F215" s="236">
        <f t="shared" si="17"/>
        <v>1193000</v>
      </c>
      <c r="G215" s="236">
        <f t="shared" si="18"/>
        <v>1312000</v>
      </c>
      <c r="H215" s="236">
        <f t="shared" si="19"/>
        <v>1443000</v>
      </c>
      <c r="I215" s="257"/>
      <c r="J215" s="258"/>
    </row>
    <row r="216" spans="1:10">
      <c r="A216" s="253">
        <v>212</v>
      </c>
      <c r="B216" s="254" t="s">
        <v>282</v>
      </c>
      <c r="C216" s="254">
        <v>1394800</v>
      </c>
      <c r="D216" s="236">
        <f t="shared" si="15"/>
        <v>1395000</v>
      </c>
      <c r="E216" s="236">
        <f t="shared" si="16"/>
        <v>1535000</v>
      </c>
      <c r="F216" s="236">
        <f t="shared" si="17"/>
        <v>1826000</v>
      </c>
      <c r="G216" s="236">
        <f t="shared" si="18"/>
        <v>2009000</v>
      </c>
      <c r="H216" s="236">
        <f t="shared" si="19"/>
        <v>2210000</v>
      </c>
      <c r="I216" s="257"/>
      <c r="J216" s="258"/>
    </row>
    <row r="217" spans="1:10">
      <c r="A217" s="253">
        <v>213</v>
      </c>
      <c r="B217" s="254" t="s">
        <v>280</v>
      </c>
      <c r="C217" s="254">
        <v>910800.00000000012</v>
      </c>
      <c r="D217" s="236">
        <f t="shared" si="15"/>
        <v>911000</v>
      </c>
      <c r="E217" s="236">
        <f t="shared" si="16"/>
        <v>1002000</v>
      </c>
      <c r="F217" s="236">
        <f t="shared" si="17"/>
        <v>1193000</v>
      </c>
      <c r="G217" s="236">
        <f t="shared" si="18"/>
        <v>1312000</v>
      </c>
      <c r="H217" s="236">
        <f t="shared" si="19"/>
        <v>1443000</v>
      </c>
      <c r="I217" s="257"/>
      <c r="J217" s="258"/>
    </row>
    <row r="218" spans="1:10">
      <c r="A218" s="253">
        <v>214</v>
      </c>
      <c r="B218" s="254" t="s">
        <v>281</v>
      </c>
      <c r="C218" s="254">
        <v>910800.00000000012</v>
      </c>
      <c r="D218" s="236">
        <f t="shared" si="15"/>
        <v>911000</v>
      </c>
      <c r="E218" s="236">
        <f t="shared" si="16"/>
        <v>1002000</v>
      </c>
      <c r="F218" s="236">
        <f t="shared" si="17"/>
        <v>1193000</v>
      </c>
      <c r="G218" s="236">
        <f t="shared" si="18"/>
        <v>1312000</v>
      </c>
      <c r="H218" s="236">
        <f t="shared" si="19"/>
        <v>1443000</v>
      </c>
      <c r="I218" s="257"/>
      <c r="J218" s="258"/>
    </row>
    <row r="219" spans="1:10">
      <c r="A219" s="253">
        <v>215</v>
      </c>
      <c r="B219" s="254" t="s">
        <v>1529</v>
      </c>
      <c r="C219" s="254">
        <v>1125300</v>
      </c>
      <c r="D219" s="236">
        <f t="shared" si="15"/>
        <v>1126000</v>
      </c>
      <c r="E219" s="236">
        <f t="shared" si="16"/>
        <v>1238000</v>
      </c>
      <c r="F219" s="236">
        <f t="shared" si="17"/>
        <v>1474000</v>
      </c>
      <c r="G219" s="236">
        <f t="shared" si="18"/>
        <v>1621000</v>
      </c>
      <c r="H219" s="236">
        <f t="shared" si="19"/>
        <v>1783000</v>
      </c>
      <c r="I219" s="257"/>
      <c r="J219" s="258"/>
    </row>
    <row r="220" spans="1:10">
      <c r="A220" s="253">
        <v>216</v>
      </c>
      <c r="B220" s="254" t="s">
        <v>284</v>
      </c>
      <c r="C220" s="254">
        <v>1394800</v>
      </c>
      <c r="D220" s="236">
        <f t="shared" si="15"/>
        <v>1395000</v>
      </c>
      <c r="E220" s="236">
        <f t="shared" si="16"/>
        <v>1535000</v>
      </c>
      <c r="F220" s="236">
        <f t="shared" si="17"/>
        <v>1826000</v>
      </c>
      <c r="G220" s="236">
        <f t="shared" si="18"/>
        <v>2009000</v>
      </c>
      <c r="H220" s="236">
        <f t="shared" si="19"/>
        <v>2210000</v>
      </c>
      <c r="I220" s="257"/>
      <c r="J220" s="258"/>
    </row>
    <row r="221" spans="1:10">
      <c r="A221" s="253">
        <v>217</v>
      </c>
      <c r="B221" s="254" t="s">
        <v>283</v>
      </c>
      <c r="C221" s="254">
        <v>1334300</v>
      </c>
      <c r="D221" s="236">
        <f t="shared" si="15"/>
        <v>1335000</v>
      </c>
      <c r="E221" s="236">
        <f t="shared" si="16"/>
        <v>1468000</v>
      </c>
      <c r="F221" s="236">
        <f t="shared" si="17"/>
        <v>1747000</v>
      </c>
      <c r="G221" s="236">
        <f t="shared" si="18"/>
        <v>1922000</v>
      </c>
      <c r="H221" s="236">
        <f t="shared" si="19"/>
        <v>2114000</v>
      </c>
      <c r="I221" s="257"/>
      <c r="J221" s="258"/>
    </row>
    <row r="222" spans="1:10">
      <c r="A222" s="253">
        <v>218</v>
      </c>
      <c r="B222" s="254" t="s">
        <v>285</v>
      </c>
      <c r="C222" s="254">
        <v>910800.00000000012</v>
      </c>
      <c r="D222" s="236">
        <f t="shared" si="15"/>
        <v>911000</v>
      </c>
      <c r="E222" s="236">
        <f t="shared" si="16"/>
        <v>1002000</v>
      </c>
      <c r="F222" s="236">
        <f t="shared" si="17"/>
        <v>1193000</v>
      </c>
      <c r="G222" s="236">
        <f t="shared" si="18"/>
        <v>1312000</v>
      </c>
      <c r="H222" s="236">
        <f t="shared" si="19"/>
        <v>1443000</v>
      </c>
      <c r="I222" s="257"/>
      <c r="J222" s="258"/>
    </row>
    <row r="223" spans="1:10">
      <c r="A223" s="253">
        <v>219</v>
      </c>
      <c r="B223" s="254" t="s">
        <v>961</v>
      </c>
      <c r="C223" s="254">
        <v>1334300</v>
      </c>
      <c r="D223" s="236">
        <f t="shared" si="15"/>
        <v>1335000</v>
      </c>
      <c r="E223" s="236">
        <f t="shared" si="16"/>
        <v>1468000</v>
      </c>
      <c r="F223" s="236">
        <f t="shared" si="17"/>
        <v>1747000</v>
      </c>
      <c r="G223" s="236">
        <f t="shared" si="18"/>
        <v>1922000</v>
      </c>
      <c r="H223" s="236">
        <f t="shared" si="19"/>
        <v>2114000</v>
      </c>
      <c r="I223" s="257"/>
      <c r="J223" s="258"/>
    </row>
    <row r="224" spans="1:10">
      <c r="A224" s="253">
        <v>220</v>
      </c>
      <c r="B224" s="254" t="s">
        <v>962</v>
      </c>
      <c r="C224" s="254">
        <v>1334300</v>
      </c>
      <c r="D224" s="236">
        <f t="shared" si="15"/>
        <v>1335000</v>
      </c>
      <c r="E224" s="236">
        <f t="shared" si="16"/>
        <v>1468000</v>
      </c>
      <c r="F224" s="236">
        <f t="shared" si="17"/>
        <v>1747000</v>
      </c>
      <c r="G224" s="236">
        <f t="shared" si="18"/>
        <v>1922000</v>
      </c>
      <c r="H224" s="236">
        <f t="shared" si="19"/>
        <v>2114000</v>
      </c>
      <c r="I224" s="257"/>
      <c r="J224" s="258"/>
    </row>
    <row r="225" spans="1:10">
      <c r="A225" s="253">
        <v>221</v>
      </c>
      <c r="B225" s="254" t="s">
        <v>1530</v>
      </c>
      <c r="C225" s="254">
        <v>1023000.0000000001</v>
      </c>
      <c r="D225" s="236">
        <f t="shared" si="15"/>
        <v>1023000</v>
      </c>
      <c r="E225" s="236">
        <f t="shared" si="16"/>
        <v>1126000</v>
      </c>
      <c r="F225" s="236">
        <f t="shared" si="17"/>
        <v>1340000</v>
      </c>
      <c r="G225" s="236">
        <f t="shared" si="18"/>
        <v>1474000</v>
      </c>
      <c r="H225" s="236">
        <f t="shared" si="19"/>
        <v>1621000</v>
      </c>
      <c r="I225" s="257"/>
      <c r="J225" s="258"/>
    </row>
    <row r="226" spans="1:10">
      <c r="A226" s="253">
        <v>222</v>
      </c>
      <c r="B226" s="254" t="s">
        <v>963</v>
      </c>
      <c r="C226" s="254">
        <v>1334300</v>
      </c>
      <c r="D226" s="236">
        <f t="shared" si="15"/>
        <v>1335000</v>
      </c>
      <c r="E226" s="236">
        <f t="shared" si="16"/>
        <v>1468000</v>
      </c>
      <c r="F226" s="236">
        <f t="shared" si="17"/>
        <v>1747000</v>
      </c>
      <c r="G226" s="236">
        <f t="shared" si="18"/>
        <v>1922000</v>
      </c>
      <c r="H226" s="236">
        <f t="shared" si="19"/>
        <v>2114000</v>
      </c>
      <c r="I226" s="257"/>
      <c r="J226" s="258"/>
    </row>
    <row r="227" spans="1:10">
      <c r="A227" s="253">
        <v>223</v>
      </c>
      <c r="B227" s="254" t="s">
        <v>964</v>
      </c>
      <c r="C227" s="254">
        <v>1270500</v>
      </c>
      <c r="D227" s="236">
        <f t="shared" si="15"/>
        <v>1271000</v>
      </c>
      <c r="E227" s="236">
        <f t="shared" si="16"/>
        <v>1398000</v>
      </c>
      <c r="F227" s="236">
        <f t="shared" si="17"/>
        <v>1664000</v>
      </c>
      <c r="G227" s="236">
        <f t="shared" si="18"/>
        <v>1830000</v>
      </c>
      <c r="H227" s="236">
        <f t="shared" si="19"/>
        <v>2013000</v>
      </c>
      <c r="I227" s="257"/>
      <c r="J227" s="258"/>
    </row>
    <row r="228" spans="1:10">
      <c r="A228" s="253">
        <v>224</v>
      </c>
      <c r="B228" s="254" t="s">
        <v>1531</v>
      </c>
      <c r="C228" s="254">
        <v>1049400</v>
      </c>
      <c r="D228" s="236">
        <f t="shared" si="15"/>
        <v>1050000</v>
      </c>
      <c r="E228" s="236">
        <f t="shared" si="16"/>
        <v>1155000</v>
      </c>
      <c r="F228" s="236">
        <f t="shared" si="17"/>
        <v>1374000</v>
      </c>
      <c r="G228" s="236">
        <f t="shared" si="18"/>
        <v>1512000</v>
      </c>
      <c r="H228" s="236">
        <f t="shared" si="19"/>
        <v>1663000</v>
      </c>
      <c r="I228" s="257"/>
      <c r="J228" s="258"/>
    </row>
    <row r="229" spans="1:10">
      <c r="A229" s="253">
        <v>225</v>
      </c>
      <c r="B229" s="254" t="s">
        <v>798</v>
      </c>
      <c r="C229" s="254">
        <v>287100</v>
      </c>
      <c r="D229" s="236">
        <f t="shared" si="15"/>
        <v>288000</v>
      </c>
      <c r="E229" s="236">
        <f t="shared" si="16"/>
        <v>316000</v>
      </c>
      <c r="F229" s="236">
        <f t="shared" si="17"/>
        <v>376000</v>
      </c>
      <c r="G229" s="236">
        <f t="shared" si="18"/>
        <v>414000</v>
      </c>
      <c r="H229" s="236">
        <f t="shared" si="19"/>
        <v>455000</v>
      </c>
      <c r="I229" s="257"/>
      <c r="J229" s="258"/>
    </row>
    <row r="230" spans="1:10">
      <c r="A230" s="253">
        <v>226</v>
      </c>
      <c r="B230" s="254" t="s">
        <v>192</v>
      </c>
      <c r="C230" s="254">
        <v>300300</v>
      </c>
      <c r="D230" s="236">
        <f t="shared" si="15"/>
        <v>301000</v>
      </c>
      <c r="E230" s="236">
        <f t="shared" si="16"/>
        <v>331000</v>
      </c>
      <c r="F230" s="236">
        <f t="shared" si="17"/>
        <v>394000</v>
      </c>
      <c r="G230" s="236">
        <f t="shared" si="18"/>
        <v>433000</v>
      </c>
      <c r="H230" s="236">
        <f t="shared" si="19"/>
        <v>476000</v>
      </c>
      <c r="I230" s="257"/>
      <c r="J230" s="258"/>
    </row>
    <row r="231" spans="1:10">
      <c r="A231" s="253">
        <v>227</v>
      </c>
      <c r="B231" s="254" t="s">
        <v>185</v>
      </c>
      <c r="C231" s="254">
        <v>159500</v>
      </c>
      <c r="D231" s="236">
        <f t="shared" si="15"/>
        <v>160000</v>
      </c>
      <c r="E231" s="236">
        <f t="shared" si="16"/>
        <v>176000</v>
      </c>
      <c r="F231" s="236">
        <f t="shared" si="17"/>
        <v>209000</v>
      </c>
      <c r="G231" s="236">
        <f t="shared" si="18"/>
        <v>230000</v>
      </c>
      <c r="H231" s="236">
        <f t="shared" si="19"/>
        <v>253000</v>
      </c>
      <c r="I231" s="257"/>
      <c r="J231" s="258"/>
    </row>
    <row r="232" spans="1:10">
      <c r="A232" s="253">
        <v>228</v>
      </c>
      <c r="B232" s="254" t="s">
        <v>139</v>
      </c>
      <c r="C232" s="254">
        <v>68200</v>
      </c>
      <c r="D232" s="236">
        <f t="shared" si="15"/>
        <v>69000</v>
      </c>
      <c r="E232" s="236">
        <f t="shared" si="16"/>
        <v>76000</v>
      </c>
      <c r="F232" s="236">
        <f t="shared" si="17"/>
        <v>90000</v>
      </c>
      <c r="G232" s="236">
        <f t="shared" si="18"/>
        <v>99000</v>
      </c>
      <c r="H232" s="236">
        <f t="shared" si="19"/>
        <v>109000</v>
      </c>
      <c r="I232" s="257"/>
      <c r="J232" s="258"/>
    </row>
    <row r="233" spans="1:10">
      <c r="A233" s="253">
        <v>229</v>
      </c>
      <c r="B233" s="254" t="s">
        <v>965</v>
      </c>
      <c r="C233" s="254">
        <v>1747900.0000000002</v>
      </c>
      <c r="D233" s="236">
        <f t="shared" si="15"/>
        <v>1748000</v>
      </c>
      <c r="E233" s="236">
        <f t="shared" si="16"/>
        <v>1923000</v>
      </c>
      <c r="F233" s="236">
        <f t="shared" si="17"/>
        <v>2289000</v>
      </c>
      <c r="G233" s="236">
        <f t="shared" si="18"/>
        <v>2517000</v>
      </c>
      <c r="H233" s="236">
        <f t="shared" si="19"/>
        <v>2769000</v>
      </c>
      <c r="I233" s="257"/>
      <c r="J233" s="258"/>
    </row>
    <row r="234" spans="1:10">
      <c r="A234" s="253">
        <v>230</v>
      </c>
      <c r="B234" s="254" t="s">
        <v>140</v>
      </c>
      <c r="C234" s="254">
        <v>68200</v>
      </c>
      <c r="D234" s="236">
        <f t="shared" si="15"/>
        <v>69000</v>
      </c>
      <c r="E234" s="236">
        <f t="shared" si="16"/>
        <v>76000</v>
      </c>
      <c r="F234" s="236">
        <f t="shared" si="17"/>
        <v>90000</v>
      </c>
      <c r="G234" s="236">
        <f t="shared" si="18"/>
        <v>99000</v>
      </c>
      <c r="H234" s="236">
        <f t="shared" si="19"/>
        <v>109000</v>
      </c>
      <c r="I234" s="257"/>
      <c r="J234" s="258"/>
    </row>
    <row r="235" spans="1:10">
      <c r="A235" s="253">
        <v>231</v>
      </c>
      <c r="B235" s="254" t="s">
        <v>242</v>
      </c>
      <c r="C235" s="254">
        <v>1085700</v>
      </c>
      <c r="D235" s="236">
        <f t="shared" si="15"/>
        <v>1086000</v>
      </c>
      <c r="E235" s="236">
        <f t="shared" si="16"/>
        <v>1195000</v>
      </c>
      <c r="F235" s="236">
        <f t="shared" si="17"/>
        <v>1422000</v>
      </c>
      <c r="G235" s="236">
        <f t="shared" si="18"/>
        <v>1564000</v>
      </c>
      <c r="H235" s="236">
        <f t="shared" si="19"/>
        <v>1720000</v>
      </c>
      <c r="I235" s="257"/>
      <c r="J235" s="258"/>
    </row>
    <row r="236" spans="1:10">
      <c r="A236" s="253">
        <v>232</v>
      </c>
      <c r="B236" s="254" t="s">
        <v>966</v>
      </c>
      <c r="C236" s="254">
        <v>586300</v>
      </c>
      <c r="D236" s="236">
        <f t="shared" si="15"/>
        <v>587000</v>
      </c>
      <c r="E236" s="236">
        <f t="shared" si="16"/>
        <v>645000</v>
      </c>
      <c r="F236" s="236">
        <f t="shared" si="17"/>
        <v>768000</v>
      </c>
      <c r="G236" s="236">
        <f t="shared" si="18"/>
        <v>845000</v>
      </c>
      <c r="H236" s="236">
        <f t="shared" si="19"/>
        <v>929000</v>
      </c>
      <c r="I236" s="257"/>
      <c r="J236" s="258"/>
    </row>
    <row r="237" spans="1:10">
      <c r="A237" s="253">
        <v>233</v>
      </c>
      <c r="B237" s="254" t="s">
        <v>967</v>
      </c>
      <c r="C237" s="254">
        <v>1037300.0000000001</v>
      </c>
      <c r="D237" s="236">
        <f t="shared" si="15"/>
        <v>1038000</v>
      </c>
      <c r="E237" s="236">
        <f t="shared" si="16"/>
        <v>1142000</v>
      </c>
      <c r="F237" s="236">
        <f t="shared" si="17"/>
        <v>1358000</v>
      </c>
      <c r="G237" s="236">
        <f t="shared" si="18"/>
        <v>1494000</v>
      </c>
      <c r="H237" s="236">
        <f t="shared" si="19"/>
        <v>1643000</v>
      </c>
      <c r="I237" s="257"/>
      <c r="J237" s="258"/>
    </row>
    <row r="238" spans="1:10">
      <c r="A238" s="253">
        <v>234</v>
      </c>
      <c r="B238" s="254" t="s">
        <v>1532</v>
      </c>
      <c r="C238" s="254">
        <v>838200.00000000012</v>
      </c>
      <c r="D238" s="236">
        <f t="shared" si="15"/>
        <v>839000</v>
      </c>
      <c r="E238" s="236">
        <f t="shared" si="16"/>
        <v>923000</v>
      </c>
      <c r="F238" s="236">
        <f t="shared" si="17"/>
        <v>1098000</v>
      </c>
      <c r="G238" s="236">
        <f t="shared" si="18"/>
        <v>1207000</v>
      </c>
      <c r="H238" s="236">
        <f t="shared" si="19"/>
        <v>1328000</v>
      </c>
      <c r="I238" s="257"/>
      <c r="J238" s="258"/>
    </row>
    <row r="239" spans="1:10">
      <c r="A239" s="253">
        <v>235</v>
      </c>
      <c r="B239" s="254" t="s">
        <v>1533</v>
      </c>
      <c r="C239" s="254">
        <v>1336500</v>
      </c>
      <c r="D239" s="236">
        <f t="shared" si="15"/>
        <v>1337000</v>
      </c>
      <c r="E239" s="236">
        <f t="shared" si="16"/>
        <v>1471000</v>
      </c>
      <c r="F239" s="236">
        <f t="shared" si="17"/>
        <v>1750000</v>
      </c>
      <c r="G239" s="236">
        <f t="shared" si="18"/>
        <v>1925000</v>
      </c>
      <c r="H239" s="236">
        <f t="shared" si="19"/>
        <v>2117000</v>
      </c>
      <c r="I239" s="257"/>
      <c r="J239" s="258"/>
    </row>
    <row r="240" spans="1:10">
      <c r="A240" s="253">
        <v>236</v>
      </c>
      <c r="B240" s="254" t="s">
        <v>199</v>
      </c>
      <c r="C240" s="254">
        <v>279400</v>
      </c>
      <c r="D240" s="236">
        <f t="shared" si="15"/>
        <v>280000</v>
      </c>
      <c r="E240" s="236">
        <f t="shared" si="16"/>
        <v>308000</v>
      </c>
      <c r="F240" s="236">
        <f t="shared" si="17"/>
        <v>366000</v>
      </c>
      <c r="G240" s="236">
        <f t="shared" si="18"/>
        <v>403000</v>
      </c>
      <c r="H240" s="236">
        <f t="shared" si="19"/>
        <v>443000</v>
      </c>
      <c r="I240" s="257"/>
      <c r="J240" s="258"/>
    </row>
    <row r="241" spans="1:10">
      <c r="A241" s="253">
        <v>237</v>
      </c>
      <c r="B241" s="254" t="s">
        <v>150</v>
      </c>
      <c r="C241" s="254">
        <v>330000</v>
      </c>
      <c r="D241" s="236">
        <f t="shared" si="15"/>
        <v>330000</v>
      </c>
      <c r="E241" s="236">
        <f t="shared" si="16"/>
        <v>363000</v>
      </c>
      <c r="F241" s="236">
        <f t="shared" si="17"/>
        <v>432000</v>
      </c>
      <c r="G241" s="236">
        <f t="shared" si="18"/>
        <v>476000</v>
      </c>
      <c r="H241" s="236">
        <f t="shared" si="19"/>
        <v>523000</v>
      </c>
      <c r="I241" s="257"/>
      <c r="J241" s="258"/>
    </row>
    <row r="242" spans="1:10">
      <c r="A242" s="253">
        <v>238</v>
      </c>
      <c r="B242" s="254" t="s">
        <v>151</v>
      </c>
      <c r="C242" s="254">
        <v>44000</v>
      </c>
      <c r="D242" s="236">
        <f t="shared" si="15"/>
        <v>44000</v>
      </c>
      <c r="E242" s="236">
        <f t="shared" si="16"/>
        <v>49000</v>
      </c>
      <c r="F242" s="236">
        <f t="shared" si="17"/>
        <v>58000</v>
      </c>
      <c r="G242" s="236">
        <f t="shared" si="18"/>
        <v>64000</v>
      </c>
      <c r="H242" s="236">
        <f t="shared" si="19"/>
        <v>70000</v>
      </c>
      <c r="I242" s="257"/>
      <c r="J242" s="258"/>
    </row>
    <row r="243" spans="1:10">
      <c r="A243" s="253">
        <v>239</v>
      </c>
      <c r="B243" s="254" t="s">
        <v>152</v>
      </c>
      <c r="C243" s="254">
        <v>44000</v>
      </c>
      <c r="D243" s="236">
        <f t="shared" si="15"/>
        <v>44000</v>
      </c>
      <c r="E243" s="236">
        <f t="shared" si="16"/>
        <v>49000</v>
      </c>
      <c r="F243" s="236">
        <f t="shared" si="17"/>
        <v>58000</v>
      </c>
      <c r="G243" s="236">
        <f t="shared" si="18"/>
        <v>64000</v>
      </c>
      <c r="H243" s="236">
        <f t="shared" si="19"/>
        <v>70000</v>
      </c>
      <c r="I243" s="257"/>
      <c r="J243" s="258"/>
    </row>
    <row r="244" spans="1:10">
      <c r="A244" s="253">
        <v>240</v>
      </c>
      <c r="B244" s="254" t="s">
        <v>968</v>
      </c>
      <c r="C244" s="254">
        <v>1194600</v>
      </c>
      <c r="D244" s="236">
        <f t="shared" si="15"/>
        <v>1195000</v>
      </c>
      <c r="E244" s="236">
        <f t="shared" si="16"/>
        <v>1315000</v>
      </c>
      <c r="F244" s="236">
        <f t="shared" si="17"/>
        <v>1564000</v>
      </c>
      <c r="G244" s="236">
        <f t="shared" si="18"/>
        <v>1721000</v>
      </c>
      <c r="H244" s="236">
        <f t="shared" si="19"/>
        <v>1893000</v>
      </c>
      <c r="I244" s="257"/>
      <c r="J244" s="258"/>
    </row>
    <row r="245" spans="1:10">
      <c r="A245" s="253">
        <v>241</v>
      </c>
      <c r="B245" s="237" t="s">
        <v>780</v>
      </c>
      <c r="C245" s="254">
        <v>170000</v>
      </c>
      <c r="D245" s="236">
        <f t="shared" si="15"/>
        <v>170000</v>
      </c>
      <c r="E245" s="236">
        <f t="shared" si="16"/>
        <v>187000</v>
      </c>
      <c r="F245" s="236">
        <f t="shared" si="17"/>
        <v>223000</v>
      </c>
      <c r="G245" s="236">
        <f t="shared" si="18"/>
        <v>245000</v>
      </c>
      <c r="H245" s="236">
        <f t="shared" si="19"/>
        <v>270000</v>
      </c>
      <c r="I245" s="257"/>
      <c r="J245" s="258"/>
    </row>
    <row r="246" spans="1:10">
      <c r="A246" s="253">
        <v>242</v>
      </c>
      <c r="B246" s="254" t="s">
        <v>461</v>
      </c>
      <c r="C246" s="254">
        <v>213400.00000000003</v>
      </c>
      <c r="D246" s="236">
        <f t="shared" si="15"/>
        <v>214000</v>
      </c>
      <c r="E246" s="236">
        <f t="shared" si="16"/>
        <v>235000</v>
      </c>
      <c r="F246" s="236">
        <f t="shared" si="17"/>
        <v>280000</v>
      </c>
      <c r="G246" s="236">
        <f t="shared" si="18"/>
        <v>308000</v>
      </c>
      <c r="H246" s="236">
        <f t="shared" si="19"/>
        <v>339000</v>
      </c>
      <c r="I246" s="257"/>
      <c r="J246" s="258"/>
    </row>
    <row r="247" spans="1:10">
      <c r="A247" s="253">
        <v>243</v>
      </c>
      <c r="B247" s="254" t="s">
        <v>254</v>
      </c>
      <c r="C247" s="254">
        <v>529100</v>
      </c>
      <c r="D247" s="236">
        <f t="shared" si="15"/>
        <v>530000</v>
      </c>
      <c r="E247" s="236">
        <f t="shared" si="16"/>
        <v>583000</v>
      </c>
      <c r="F247" s="236">
        <f t="shared" si="17"/>
        <v>693000</v>
      </c>
      <c r="G247" s="236">
        <f t="shared" si="18"/>
        <v>762000</v>
      </c>
      <c r="H247" s="236">
        <f t="shared" si="19"/>
        <v>839000</v>
      </c>
      <c r="I247" s="257"/>
      <c r="J247" s="258"/>
    </row>
    <row r="248" spans="1:10">
      <c r="A248" s="253">
        <v>244</v>
      </c>
      <c r="B248" s="254" t="s">
        <v>257</v>
      </c>
      <c r="C248" s="254">
        <v>213400.00000000003</v>
      </c>
      <c r="D248" s="236">
        <f t="shared" si="15"/>
        <v>214000</v>
      </c>
      <c r="E248" s="236">
        <f t="shared" si="16"/>
        <v>235000</v>
      </c>
      <c r="F248" s="236">
        <f t="shared" si="17"/>
        <v>280000</v>
      </c>
      <c r="G248" s="236">
        <f t="shared" si="18"/>
        <v>308000</v>
      </c>
      <c r="H248" s="236">
        <f t="shared" si="19"/>
        <v>339000</v>
      </c>
      <c r="I248" s="257"/>
      <c r="J248" s="258"/>
    </row>
    <row r="249" spans="1:10">
      <c r="A249" s="253">
        <v>245</v>
      </c>
      <c r="B249" s="254" t="s">
        <v>970</v>
      </c>
      <c r="C249" s="254">
        <v>343200</v>
      </c>
      <c r="D249" s="236">
        <f t="shared" si="15"/>
        <v>344000</v>
      </c>
      <c r="E249" s="236">
        <f t="shared" si="16"/>
        <v>378000</v>
      </c>
      <c r="F249" s="236">
        <f t="shared" si="17"/>
        <v>450000</v>
      </c>
      <c r="G249" s="236">
        <f t="shared" si="18"/>
        <v>495000</v>
      </c>
      <c r="H249" s="236">
        <f t="shared" si="19"/>
        <v>544000</v>
      </c>
      <c r="I249" s="257"/>
      <c r="J249" s="258"/>
    </row>
    <row r="250" spans="1:10">
      <c r="A250" s="253">
        <v>246</v>
      </c>
      <c r="B250" s="254" t="s">
        <v>1534</v>
      </c>
      <c r="C250" s="254">
        <v>727100.00000000012</v>
      </c>
      <c r="D250" s="236">
        <f t="shared" si="15"/>
        <v>728000</v>
      </c>
      <c r="E250" s="236">
        <f t="shared" si="16"/>
        <v>800000</v>
      </c>
      <c r="F250" s="236">
        <f t="shared" si="17"/>
        <v>952000</v>
      </c>
      <c r="G250" s="236">
        <f t="shared" si="18"/>
        <v>1047000</v>
      </c>
      <c r="H250" s="236">
        <f t="shared" si="19"/>
        <v>1152000</v>
      </c>
      <c r="I250" s="257"/>
      <c r="J250" s="258"/>
    </row>
    <row r="251" spans="1:10">
      <c r="A251" s="253">
        <v>247</v>
      </c>
      <c r="B251" s="254" t="s">
        <v>781</v>
      </c>
      <c r="C251" s="254">
        <v>621500</v>
      </c>
      <c r="D251" s="236">
        <f t="shared" si="15"/>
        <v>622000</v>
      </c>
      <c r="E251" s="236">
        <f t="shared" si="16"/>
        <v>684000</v>
      </c>
      <c r="F251" s="236">
        <f t="shared" si="17"/>
        <v>814000</v>
      </c>
      <c r="G251" s="236">
        <f t="shared" si="18"/>
        <v>895000</v>
      </c>
      <c r="H251" s="236">
        <f t="shared" si="19"/>
        <v>985000</v>
      </c>
      <c r="I251" s="257"/>
      <c r="J251" s="258"/>
    </row>
    <row r="252" spans="1:10">
      <c r="A252" s="253">
        <v>248</v>
      </c>
      <c r="B252" s="254" t="s">
        <v>1535</v>
      </c>
      <c r="C252" s="254">
        <v>293700</v>
      </c>
      <c r="D252" s="236">
        <f t="shared" si="15"/>
        <v>294000</v>
      </c>
      <c r="E252" s="236">
        <f t="shared" si="16"/>
        <v>324000</v>
      </c>
      <c r="F252" s="236">
        <f t="shared" si="17"/>
        <v>385000</v>
      </c>
      <c r="G252" s="236">
        <f t="shared" si="18"/>
        <v>423000</v>
      </c>
      <c r="H252" s="236">
        <f t="shared" si="19"/>
        <v>466000</v>
      </c>
      <c r="I252" s="257"/>
      <c r="J252" s="258"/>
    </row>
    <row r="253" spans="1:10">
      <c r="A253" s="253">
        <v>249</v>
      </c>
      <c r="B253" s="254" t="s">
        <v>1536</v>
      </c>
      <c r="C253" s="254">
        <v>3432000.0000000005</v>
      </c>
      <c r="D253" s="236">
        <f t="shared" si="15"/>
        <v>3432000</v>
      </c>
      <c r="E253" s="236">
        <f t="shared" si="16"/>
        <v>3776000</v>
      </c>
      <c r="F253" s="236">
        <f t="shared" si="17"/>
        <v>4493000</v>
      </c>
      <c r="G253" s="236">
        <f t="shared" si="18"/>
        <v>4942000</v>
      </c>
      <c r="H253" s="236">
        <f t="shared" si="19"/>
        <v>5436000</v>
      </c>
      <c r="I253" s="257"/>
      <c r="J253" s="258"/>
    </row>
    <row r="254" spans="1:10">
      <c r="A254" s="253">
        <v>250</v>
      </c>
      <c r="B254" s="254" t="s">
        <v>1537</v>
      </c>
      <c r="C254" s="254">
        <v>6204000.0000000009</v>
      </c>
      <c r="D254" s="236">
        <f t="shared" si="15"/>
        <v>6204000</v>
      </c>
      <c r="E254" s="236">
        <f t="shared" si="16"/>
        <v>6825000</v>
      </c>
      <c r="F254" s="236">
        <f t="shared" si="17"/>
        <v>8122000</v>
      </c>
      <c r="G254" s="236">
        <f t="shared" si="18"/>
        <v>8934000</v>
      </c>
      <c r="H254" s="236">
        <f t="shared" si="19"/>
        <v>9827000</v>
      </c>
      <c r="I254" s="257"/>
      <c r="J254" s="258"/>
    </row>
    <row r="255" spans="1:10">
      <c r="A255" s="253">
        <v>251</v>
      </c>
      <c r="B255" s="254" t="s">
        <v>1538</v>
      </c>
      <c r="C255" s="254">
        <v>10428000</v>
      </c>
      <c r="D255" s="236">
        <f t="shared" si="15"/>
        <v>10428000</v>
      </c>
      <c r="E255" s="236">
        <f t="shared" si="16"/>
        <v>11471000</v>
      </c>
      <c r="F255" s="236">
        <f t="shared" si="17"/>
        <v>13651000</v>
      </c>
      <c r="G255" s="236">
        <f t="shared" si="18"/>
        <v>15016000</v>
      </c>
      <c r="H255" s="236">
        <f t="shared" si="19"/>
        <v>16517000</v>
      </c>
      <c r="I255" s="257"/>
      <c r="J255" s="258"/>
    </row>
    <row r="256" spans="1:10">
      <c r="A256" s="253">
        <v>252</v>
      </c>
      <c r="B256" s="254" t="s">
        <v>973</v>
      </c>
      <c r="C256" s="254">
        <v>1753400.0000000002</v>
      </c>
      <c r="D256" s="236">
        <f t="shared" si="15"/>
        <v>1754000</v>
      </c>
      <c r="E256" s="236">
        <f t="shared" si="16"/>
        <v>1929000</v>
      </c>
      <c r="F256" s="236">
        <f t="shared" si="17"/>
        <v>2296000</v>
      </c>
      <c r="G256" s="236">
        <f t="shared" si="18"/>
        <v>2525000</v>
      </c>
      <c r="H256" s="236">
        <f t="shared" si="19"/>
        <v>2778000</v>
      </c>
      <c r="I256" s="257"/>
      <c r="J256" s="258"/>
    </row>
    <row r="257" spans="1:10">
      <c r="A257" s="253">
        <v>253</v>
      </c>
      <c r="B257" s="254" t="s">
        <v>1539</v>
      </c>
      <c r="C257" s="254">
        <v>1537800.0000000002</v>
      </c>
      <c r="D257" s="236">
        <f t="shared" si="15"/>
        <v>1538000</v>
      </c>
      <c r="E257" s="236">
        <f t="shared" si="16"/>
        <v>1692000</v>
      </c>
      <c r="F257" s="236">
        <f t="shared" si="17"/>
        <v>2013000</v>
      </c>
      <c r="G257" s="236">
        <f t="shared" si="18"/>
        <v>2215000</v>
      </c>
      <c r="H257" s="236">
        <f t="shared" si="19"/>
        <v>2436000</v>
      </c>
      <c r="I257" s="257"/>
      <c r="J257" s="258"/>
    </row>
    <row r="258" spans="1:10">
      <c r="A258" s="253">
        <v>254</v>
      </c>
      <c r="B258" s="254" t="s">
        <v>974</v>
      </c>
      <c r="C258" s="254">
        <v>435600.00000000006</v>
      </c>
      <c r="D258" s="236">
        <f t="shared" si="15"/>
        <v>436000</v>
      </c>
      <c r="E258" s="236">
        <f t="shared" si="16"/>
        <v>480000</v>
      </c>
      <c r="F258" s="236">
        <f t="shared" si="17"/>
        <v>571000</v>
      </c>
      <c r="G258" s="236">
        <f t="shared" si="18"/>
        <v>628000</v>
      </c>
      <c r="H258" s="236">
        <f t="shared" si="19"/>
        <v>690000</v>
      </c>
      <c r="I258" s="257"/>
      <c r="J258" s="258"/>
    </row>
    <row r="259" spans="1:10">
      <c r="A259" s="253">
        <v>255</v>
      </c>
      <c r="B259" s="254" t="s">
        <v>1540</v>
      </c>
      <c r="C259" s="254">
        <v>3842300.0000000005</v>
      </c>
      <c r="D259" s="236">
        <f t="shared" si="15"/>
        <v>3843000</v>
      </c>
      <c r="E259" s="236">
        <f t="shared" si="16"/>
        <v>4227000</v>
      </c>
      <c r="F259" s="236">
        <f t="shared" si="17"/>
        <v>5030000</v>
      </c>
      <c r="G259" s="236">
        <f t="shared" si="18"/>
        <v>5533000</v>
      </c>
      <c r="H259" s="236">
        <f t="shared" si="19"/>
        <v>6086000</v>
      </c>
      <c r="I259" s="257"/>
      <c r="J259" s="258"/>
    </row>
    <row r="260" spans="1:10">
      <c r="A260" s="253">
        <v>256</v>
      </c>
      <c r="B260" s="254" t="s">
        <v>237</v>
      </c>
      <c r="C260" s="254">
        <v>4017200.0000000005</v>
      </c>
      <c r="D260" s="236">
        <f t="shared" si="15"/>
        <v>4018000</v>
      </c>
      <c r="E260" s="236">
        <f t="shared" si="16"/>
        <v>4419000</v>
      </c>
      <c r="F260" s="236">
        <f t="shared" si="17"/>
        <v>5259000</v>
      </c>
      <c r="G260" s="236">
        <f t="shared" si="18"/>
        <v>5785000</v>
      </c>
      <c r="H260" s="236">
        <f t="shared" si="19"/>
        <v>6363000</v>
      </c>
      <c r="I260" s="257"/>
      <c r="J260" s="258"/>
    </row>
    <row r="261" spans="1:10">
      <c r="A261" s="253">
        <v>257</v>
      </c>
      <c r="B261" s="254" t="s">
        <v>238</v>
      </c>
      <c r="C261" s="254">
        <v>4269100</v>
      </c>
      <c r="D261" s="236">
        <f t="shared" si="15"/>
        <v>4270000</v>
      </c>
      <c r="E261" s="236">
        <f t="shared" si="16"/>
        <v>4697000</v>
      </c>
      <c r="F261" s="236">
        <f t="shared" si="17"/>
        <v>5589000</v>
      </c>
      <c r="G261" s="236">
        <f t="shared" si="18"/>
        <v>6148000</v>
      </c>
      <c r="H261" s="236">
        <f t="shared" si="19"/>
        <v>6762000</v>
      </c>
      <c r="I261" s="257"/>
      <c r="J261" s="258"/>
    </row>
    <row r="262" spans="1:10">
      <c r="A262" s="253">
        <v>258</v>
      </c>
      <c r="B262" s="254" t="s">
        <v>976</v>
      </c>
      <c r="C262" s="254">
        <v>418000.00000000006</v>
      </c>
      <c r="D262" s="236">
        <f t="shared" ref="D262:D325" si="20">ROUNDUP(C262,-3)</f>
        <v>418000</v>
      </c>
      <c r="E262" s="236">
        <f t="shared" ref="E262:E325" si="21">ROUNDUP($C262*1.1,-3)</f>
        <v>460000</v>
      </c>
      <c r="F262" s="236">
        <f t="shared" ref="F262:F325" si="22">ROUNDUP($C262*1.1*1.19,-3)</f>
        <v>548000</v>
      </c>
      <c r="G262" s="236">
        <f t="shared" ref="G262:G325" si="23">ROUNDUP($C262*1.1*1.19*1.1,-3)</f>
        <v>602000</v>
      </c>
      <c r="H262" s="236">
        <f t="shared" ref="H262:H325" si="24">ROUNDUP($C262*1.1*1.19*1.1*1.1,-3)</f>
        <v>663000</v>
      </c>
      <c r="I262" s="257"/>
      <c r="J262" s="258"/>
    </row>
    <row r="263" spans="1:10">
      <c r="A263" s="253">
        <v>259</v>
      </c>
      <c r="B263" s="254" t="s">
        <v>977</v>
      </c>
      <c r="C263" s="254">
        <v>627000</v>
      </c>
      <c r="D263" s="236">
        <f t="shared" si="20"/>
        <v>627000</v>
      </c>
      <c r="E263" s="236">
        <f t="shared" si="21"/>
        <v>690000</v>
      </c>
      <c r="F263" s="236">
        <f t="shared" si="22"/>
        <v>821000</v>
      </c>
      <c r="G263" s="236">
        <f t="shared" si="23"/>
        <v>903000</v>
      </c>
      <c r="H263" s="236">
        <f t="shared" si="24"/>
        <v>994000</v>
      </c>
      <c r="I263" s="257"/>
      <c r="J263" s="258"/>
    </row>
    <row r="264" spans="1:10">
      <c r="A264" s="253">
        <v>260</v>
      </c>
      <c r="B264" s="254" t="s">
        <v>1541</v>
      </c>
      <c r="C264" s="254">
        <v>393800.00000000006</v>
      </c>
      <c r="D264" s="236">
        <f t="shared" si="20"/>
        <v>394000</v>
      </c>
      <c r="E264" s="236">
        <f t="shared" si="21"/>
        <v>434000</v>
      </c>
      <c r="F264" s="236">
        <f t="shared" si="22"/>
        <v>516000</v>
      </c>
      <c r="G264" s="236">
        <f t="shared" si="23"/>
        <v>568000</v>
      </c>
      <c r="H264" s="236">
        <f t="shared" si="24"/>
        <v>624000</v>
      </c>
      <c r="I264" s="257"/>
      <c r="J264" s="258"/>
    </row>
    <row r="265" spans="1:10">
      <c r="A265" s="253">
        <v>261</v>
      </c>
      <c r="B265" s="254" t="s">
        <v>978</v>
      </c>
      <c r="C265" s="254">
        <v>4269100</v>
      </c>
      <c r="D265" s="236">
        <f t="shared" si="20"/>
        <v>4270000</v>
      </c>
      <c r="E265" s="236">
        <f t="shared" si="21"/>
        <v>4697000</v>
      </c>
      <c r="F265" s="236">
        <f t="shared" si="22"/>
        <v>5589000</v>
      </c>
      <c r="G265" s="236">
        <f t="shared" si="23"/>
        <v>6148000</v>
      </c>
      <c r="H265" s="236">
        <f t="shared" si="24"/>
        <v>6762000</v>
      </c>
      <c r="I265" s="257"/>
      <c r="J265" s="258"/>
    </row>
    <row r="266" spans="1:10">
      <c r="A266" s="253">
        <v>262</v>
      </c>
      <c r="B266" s="254" t="s">
        <v>1542</v>
      </c>
      <c r="C266" s="254">
        <v>3437500.0000000005</v>
      </c>
      <c r="D266" s="236">
        <f t="shared" si="20"/>
        <v>3438000</v>
      </c>
      <c r="E266" s="236">
        <f t="shared" si="21"/>
        <v>3782000</v>
      </c>
      <c r="F266" s="236">
        <f t="shared" si="22"/>
        <v>4500000</v>
      </c>
      <c r="G266" s="236">
        <f t="shared" si="23"/>
        <v>4950000</v>
      </c>
      <c r="H266" s="236">
        <f t="shared" si="24"/>
        <v>5445000</v>
      </c>
      <c r="I266" s="257"/>
      <c r="J266" s="258"/>
    </row>
    <row r="267" spans="1:10">
      <c r="A267" s="253">
        <v>263</v>
      </c>
      <c r="B267" s="254" t="s">
        <v>1543</v>
      </c>
      <c r="C267" s="254">
        <v>3883000.0000000005</v>
      </c>
      <c r="D267" s="236">
        <f t="shared" si="20"/>
        <v>3883000</v>
      </c>
      <c r="E267" s="236">
        <f t="shared" si="21"/>
        <v>4272000</v>
      </c>
      <c r="F267" s="236">
        <f t="shared" si="22"/>
        <v>5083000</v>
      </c>
      <c r="G267" s="236">
        <f t="shared" si="23"/>
        <v>5592000</v>
      </c>
      <c r="H267" s="236">
        <f t="shared" si="24"/>
        <v>6151000</v>
      </c>
      <c r="I267" s="257"/>
      <c r="J267" s="258"/>
    </row>
    <row r="268" spans="1:10">
      <c r="A268" s="253">
        <v>264</v>
      </c>
      <c r="B268" s="254" t="s">
        <v>294</v>
      </c>
      <c r="C268" s="254">
        <v>691900</v>
      </c>
      <c r="D268" s="236">
        <f t="shared" si="20"/>
        <v>692000</v>
      </c>
      <c r="E268" s="236">
        <f t="shared" si="21"/>
        <v>762000</v>
      </c>
      <c r="F268" s="236">
        <f t="shared" si="22"/>
        <v>906000</v>
      </c>
      <c r="G268" s="236">
        <f t="shared" si="23"/>
        <v>997000</v>
      </c>
      <c r="H268" s="236">
        <f t="shared" si="24"/>
        <v>1096000</v>
      </c>
      <c r="I268" s="257"/>
      <c r="J268" s="258"/>
    </row>
    <row r="269" spans="1:10">
      <c r="A269" s="253">
        <v>265</v>
      </c>
      <c r="B269" s="254" t="s">
        <v>979</v>
      </c>
      <c r="C269" s="254">
        <v>7027900.0000000009</v>
      </c>
      <c r="D269" s="236">
        <f t="shared" si="20"/>
        <v>7028000</v>
      </c>
      <c r="E269" s="236">
        <f t="shared" si="21"/>
        <v>7731000</v>
      </c>
      <c r="F269" s="236">
        <f t="shared" si="22"/>
        <v>9200000</v>
      </c>
      <c r="G269" s="236">
        <f t="shared" si="23"/>
        <v>10120000</v>
      </c>
      <c r="H269" s="236">
        <f t="shared" si="24"/>
        <v>11132000</v>
      </c>
      <c r="I269" s="257"/>
      <c r="J269" s="258"/>
    </row>
    <row r="270" spans="1:10">
      <c r="A270" s="253">
        <v>266</v>
      </c>
      <c r="B270" s="254" t="s">
        <v>980</v>
      </c>
      <c r="C270" s="254">
        <v>404800.00000000006</v>
      </c>
      <c r="D270" s="236">
        <f t="shared" si="20"/>
        <v>405000</v>
      </c>
      <c r="E270" s="236">
        <f t="shared" si="21"/>
        <v>446000</v>
      </c>
      <c r="F270" s="236">
        <f t="shared" si="22"/>
        <v>530000</v>
      </c>
      <c r="G270" s="236">
        <f t="shared" si="23"/>
        <v>583000</v>
      </c>
      <c r="H270" s="236">
        <f t="shared" si="24"/>
        <v>642000</v>
      </c>
      <c r="I270" s="257"/>
      <c r="J270" s="258"/>
    </row>
    <row r="271" spans="1:10">
      <c r="A271" s="253">
        <v>267</v>
      </c>
      <c r="B271" s="254" t="s">
        <v>981</v>
      </c>
      <c r="C271" s="254">
        <v>333300</v>
      </c>
      <c r="D271" s="236">
        <f t="shared" si="20"/>
        <v>334000</v>
      </c>
      <c r="E271" s="236">
        <f t="shared" si="21"/>
        <v>367000</v>
      </c>
      <c r="F271" s="236">
        <f t="shared" si="22"/>
        <v>437000</v>
      </c>
      <c r="G271" s="236">
        <f t="shared" si="23"/>
        <v>480000</v>
      </c>
      <c r="H271" s="236">
        <f t="shared" si="24"/>
        <v>528000</v>
      </c>
      <c r="I271" s="257"/>
      <c r="J271" s="258"/>
    </row>
    <row r="272" spans="1:10">
      <c r="A272" s="253">
        <v>268</v>
      </c>
      <c r="B272" s="254" t="s">
        <v>982</v>
      </c>
      <c r="C272" s="254">
        <v>1689600.0000000002</v>
      </c>
      <c r="D272" s="236">
        <f t="shared" si="20"/>
        <v>1690000</v>
      </c>
      <c r="E272" s="236">
        <f t="shared" si="21"/>
        <v>1859000</v>
      </c>
      <c r="F272" s="236">
        <f t="shared" si="22"/>
        <v>2212000</v>
      </c>
      <c r="G272" s="236">
        <f t="shared" si="23"/>
        <v>2433000</v>
      </c>
      <c r="H272" s="236">
        <f t="shared" si="24"/>
        <v>2677000</v>
      </c>
      <c r="I272" s="257"/>
      <c r="J272" s="258"/>
    </row>
    <row r="273" spans="1:10">
      <c r="A273" s="253">
        <v>269</v>
      </c>
      <c r="B273" s="254" t="s">
        <v>288</v>
      </c>
      <c r="C273" s="254">
        <v>104500.00000000001</v>
      </c>
      <c r="D273" s="236">
        <f t="shared" si="20"/>
        <v>105000</v>
      </c>
      <c r="E273" s="236">
        <f t="shared" si="21"/>
        <v>115000</v>
      </c>
      <c r="F273" s="236">
        <f t="shared" si="22"/>
        <v>137000</v>
      </c>
      <c r="G273" s="236">
        <f t="shared" si="23"/>
        <v>151000</v>
      </c>
      <c r="H273" s="236">
        <f t="shared" si="24"/>
        <v>166000</v>
      </c>
      <c r="I273" s="257"/>
      <c r="J273" s="258"/>
    </row>
    <row r="274" spans="1:10">
      <c r="A274" s="253">
        <v>270</v>
      </c>
      <c r="B274" s="254" t="s">
        <v>1544</v>
      </c>
      <c r="C274" s="254">
        <v>280500</v>
      </c>
      <c r="D274" s="236">
        <f t="shared" si="20"/>
        <v>281000</v>
      </c>
      <c r="E274" s="236">
        <f t="shared" si="21"/>
        <v>309000</v>
      </c>
      <c r="F274" s="236">
        <f t="shared" si="22"/>
        <v>368000</v>
      </c>
      <c r="G274" s="236">
        <f t="shared" si="23"/>
        <v>404000</v>
      </c>
      <c r="H274" s="236">
        <f t="shared" si="24"/>
        <v>445000</v>
      </c>
      <c r="I274" s="257"/>
      <c r="J274" s="258"/>
    </row>
    <row r="275" spans="1:10">
      <c r="A275" s="253">
        <v>271</v>
      </c>
      <c r="B275" s="254" t="s">
        <v>289</v>
      </c>
      <c r="C275" s="254">
        <v>314600</v>
      </c>
      <c r="D275" s="236">
        <f t="shared" si="20"/>
        <v>315000</v>
      </c>
      <c r="E275" s="236">
        <f t="shared" si="21"/>
        <v>347000</v>
      </c>
      <c r="F275" s="236">
        <f t="shared" si="22"/>
        <v>412000</v>
      </c>
      <c r="G275" s="236">
        <f t="shared" si="23"/>
        <v>453000</v>
      </c>
      <c r="H275" s="236">
        <f t="shared" si="24"/>
        <v>499000</v>
      </c>
      <c r="I275" s="257"/>
      <c r="J275" s="258"/>
    </row>
    <row r="276" spans="1:10">
      <c r="A276" s="253">
        <v>272</v>
      </c>
      <c r="B276" s="254" t="s">
        <v>983</v>
      </c>
      <c r="C276" s="254">
        <v>183700.00000000003</v>
      </c>
      <c r="D276" s="236">
        <f t="shared" si="20"/>
        <v>184000</v>
      </c>
      <c r="E276" s="236">
        <f t="shared" si="21"/>
        <v>203000</v>
      </c>
      <c r="F276" s="236">
        <f t="shared" si="22"/>
        <v>241000</v>
      </c>
      <c r="G276" s="236">
        <f t="shared" si="23"/>
        <v>265000</v>
      </c>
      <c r="H276" s="236">
        <f t="shared" si="24"/>
        <v>291000</v>
      </c>
      <c r="I276" s="257"/>
      <c r="J276" s="258"/>
    </row>
    <row r="277" spans="1:10">
      <c r="A277" s="253">
        <v>273</v>
      </c>
      <c r="B277" s="254" t="s">
        <v>287</v>
      </c>
      <c r="C277" s="254">
        <v>146300</v>
      </c>
      <c r="D277" s="236">
        <f t="shared" si="20"/>
        <v>147000</v>
      </c>
      <c r="E277" s="236">
        <f t="shared" si="21"/>
        <v>161000</v>
      </c>
      <c r="F277" s="236">
        <f t="shared" si="22"/>
        <v>192000</v>
      </c>
      <c r="G277" s="236">
        <f t="shared" si="23"/>
        <v>211000</v>
      </c>
      <c r="H277" s="236">
        <f t="shared" si="24"/>
        <v>232000</v>
      </c>
      <c r="I277" s="257"/>
      <c r="J277" s="258"/>
    </row>
    <row r="278" spans="1:10">
      <c r="A278" s="253">
        <v>274</v>
      </c>
      <c r="B278" s="254" t="s">
        <v>270</v>
      </c>
      <c r="C278" s="254">
        <v>1805100.0000000002</v>
      </c>
      <c r="D278" s="236">
        <f t="shared" si="20"/>
        <v>1806000</v>
      </c>
      <c r="E278" s="236">
        <f t="shared" si="21"/>
        <v>1986000</v>
      </c>
      <c r="F278" s="236">
        <f t="shared" si="22"/>
        <v>2363000</v>
      </c>
      <c r="G278" s="236">
        <f t="shared" si="23"/>
        <v>2600000</v>
      </c>
      <c r="H278" s="236">
        <f t="shared" si="24"/>
        <v>2860000</v>
      </c>
      <c r="I278" s="257"/>
      <c r="J278" s="258"/>
    </row>
    <row r="279" spans="1:10">
      <c r="A279" s="253">
        <v>275</v>
      </c>
      <c r="B279" s="254" t="s">
        <v>984</v>
      </c>
      <c r="C279" s="254">
        <v>203500.00000000003</v>
      </c>
      <c r="D279" s="236">
        <f t="shared" si="20"/>
        <v>204000</v>
      </c>
      <c r="E279" s="236">
        <f t="shared" si="21"/>
        <v>224000</v>
      </c>
      <c r="F279" s="236">
        <f t="shared" si="22"/>
        <v>267000</v>
      </c>
      <c r="G279" s="236">
        <f t="shared" si="23"/>
        <v>294000</v>
      </c>
      <c r="H279" s="236">
        <f t="shared" si="24"/>
        <v>323000</v>
      </c>
      <c r="I279" s="257"/>
      <c r="J279" s="258"/>
    </row>
    <row r="280" spans="1:10">
      <c r="A280" s="253">
        <v>276</v>
      </c>
      <c r="B280" s="254" t="s">
        <v>985</v>
      </c>
      <c r="C280" s="254">
        <v>1821600.0000000002</v>
      </c>
      <c r="D280" s="236">
        <f t="shared" si="20"/>
        <v>1822000</v>
      </c>
      <c r="E280" s="236">
        <f t="shared" si="21"/>
        <v>2004000</v>
      </c>
      <c r="F280" s="236">
        <f t="shared" si="22"/>
        <v>2385000</v>
      </c>
      <c r="G280" s="236">
        <f t="shared" si="23"/>
        <v>2623000</v>
      </c>
      <c r="H280" s="236">
        <f t="shared" si="24"/>
        <v>2886000</v>
      </c>
      <c r="I280" s="257"/>
      <c r="J280" s="258"/>
    </row>
    <row r="281" spans="1:10">
      <c r="A281" s="253">
        <v>277</v>
      </c>
      <c r="B281" s="254" t="s">
        <v>246</v>
      </c>
      <c r="C281" s="254">
        <v>1137400</v>
      </c>
      <c r="D281" s="236">
        <f t="shared" si="20"/>
        <v>1138000</v>
      </c>
      <c r="E281" s="236">
        <f t="shared" si="21"/>
        <v>1252000</v>
      </c>
      <c r="F281" s="236">
        <f t="shared" si="22"/>
        <v>1489000</v>
      </c>
      <c r="G281" s="236">
        <f t="shared" si="23"/>
        <v>1638000</v>
      </c>
      <c r="H281" s="236">
        <f t="shared" si="24"/>
        <v>1802000</v>
      </c>
      <c r="I281" s="257"/>
      <c r="J281" s="258"/>
    </row>
    <row r="282" spans="1:10">
      <c r="A282" s="253">
        <v>278</v>
      </c>
      <c r="B282" s="254" t="s">
        <v>244</v>
      </c>
      <c r="C282" s="254">
        <v>1061500</v>
      </c>
      <c r="D282" s="236">
        <f t="shared" si="20"/>
        <v>1062000</v>
      </c>
      <c r="E282" s="236">
        <f t="shared" si="21"/>
        <v>1168000</v>
      </c>
      <c r="F282" s="236">
        <f t="shared" si="22"/>
        <v>1390000</v>
      </c>
      <c r="G282" s="236">
        <f t="shared" si="23"/>
        <v>1529000</v>
      </c>
      <c r="H282" s="236">
        <f t="shared" si="24"/>
        <v>1682000</v>
      </c>
      <c r="I282" s="257"/>
      <c r="J282" s="258"/>
    </row>
    <row r="283" spans="1:10">
      <c r="A283" s="253">
        <v>279</v>
      </c>
      <c r="B283" s="254" t="s">
        <v>986</v>
      </c>
      <c r="C283" s="254">
        <v>256300.00000000003</v>
      </c>
      <c r="D283" s="236">
        <f t="shared" si="20"/>
        <v>257000</v>
      </c>
      <c r="E283" s="236">
        <f t="shared" si="21"/>
        <v>282000</v>
      </c>
      <c r="F283" s="236">
        <f t="shared" si="22"/>
        <v>336000</v>
      </c>
      <c r="G283" s="236">
        <f t="shared" si="23"/>
        <v>370000</v>
      </c>
      <c r="H283" s="236">
        <f t="shared" si="24"/>
        <v>406000</v>
      </c>
      <c r="I283" s="257"/>
      <c r="J283" s="258"/>
    </row>
    <row r="284" spans="1:10">
      <c r="A284" s="253">
        <v>280</v>
      </c>
      <c r="B284" s="254" t="s">
        <v>987</v>
      </c>
      <c r="C284" s="254">
        <v>594000</v>
      </c>
      <c r="D284" s="236">
        <f t="shared" si="20"/>
        <v>594000</v>
      </c>
      <c r="E284" s="236">
        <f t="shared" si="21"/>
        <v>654000</v>
      </c>
      <c r="F284" s="236">
        <f t="shared" si="22"/>
        <v>778000</v>
      </c>
      <c r="G284" s="236">
        <f t="shared" si="23"/>
        <v>856000</v>
      </c>
      <c r="H284" s="236">
        <f t="shared" si="24"/>
        <v>941000</v>
      </c>
      <c r="I284" s="257"/>
      <c r="J284" s="258"/>
    </row>
    <row r="285" spans="1:10">
      <c r="A285" s="253">
        <v>281</v>
      </c>
      <c r="B285" s="254" t="s">
        <v>988</v>
      </c>
      <c r="C285" s="254">
        <v>135300</v>
      </c>
      <c r="D285" s="236">
        <f t="shared" si="20"/>
        <v>136000</v>
      </c>
      <c r="E285" s="236">
        <f t="shared" si="21"/>
        <v>149000</v>
      </c>
      <c r="F285" s="236">
        <f t="shared" si="22"/>
        <v>178000</v>
      </c>
      <c r="G285" s="236">
        <f t="shared" si="23"/>
        <v>195000</v>
      </c>
      <c r="H285" s="236">
        <f t="shared" si="24"/>
        <v>215000</v>
      </c>
      <c r="I285" s="257"/>
      <c r="J285" s="258"/>
    </row>
    <row r="286" spans="1:10">
      <c r="A286" s="253">
        <v>282</v>
      </c>
      <c r="B286" s="254" t="s">
        <v>160</v>
      </c>
      <c r="C286" s="254">
        <v>198000.00000000003</v>
      </c>
      <c r="D286" s="236">
        <f t="shared" si="20"/>
        <v>198000</v>
      </c>
      <c r="E286" s="236">
        <f t="shared" si="21"/>
        <v>218000</v>
      </c>
      <c r="F286" s="236">
        <f t="shared" si="22"/>
        <v>260000</v>
      </c>
      <c r="G286" s="236">
        <f t="shared" si="23"/>
        <v>286000</v>
      </c>
      <c r="H286" s="236">
        <f t="shared" si="24"/>
        <v>314000</v>
      </c>
      <c r="I286" s="257"/>
      <c r="J286" s="258"/>
    </row>
    <row r="287" spans="1:10">
      <c r="A287" s="253">
        <v>283</v>
      </c>
      <c r="B287" s="254" t="s">
        <v>989</v>
      </c>
      <c r="C287" s="254">
        <v>191400.00000000003</v>
      </c>
      <c r="D287" s="236">
        <f t="shared" si="20"/>
        <v>192000</v>
      </c>
      <c r="E287" s="236">
        <f t="shared" si="21"/>
        <v>211000</v>
      </c>
      <c r="F287" s="236">
        <f t="shared" si="22"/>
        <v>251000</v>
      </c>
      <c r="G287" s="236">
        <f t="shared" si="23"/>
        <v>276000</v>
      </c>
      <c r="H287" s="236">
        <f t="shared" si="24"/>
        <v>304000</v>
      </c>
      <c r="I287" s="257"/>
      <c r="J287" s="258"/>
    </row>
    <row r="288" spans="1:10">
      <c r="A288" s="253">
        <v>284</v>
      </c>
      <c r="B288" s="254" t="s">
        <v>1545</v>
      </c>
      <c r="C288" s="254">
        <v>24200.000000000004</v>
      </c>
      <c r="D288" s="236">
        <f t="shared" si="20"/>
        <v>25000</v>
      </c>
      <c r="E288" s="236">
        <f t="shared" si="21"/>
        <v>27000</v>
      </c>
      <c r="F288" s="236">
        <f t="shared" si="22"/>
        <v>32000</v>
      </c>
      <c r="G288" s="236">
        <f t="shared" si="23"/>
        <v>35000</v>
      </c>
      <c r="H288" s="236">
        <f t="shared" si="24"/>
        <v>39000</v>
      </c>
      <c r="I288" s="257"/>
      <c r="J288" s="258"/>
    </row>
    <row r="289" spans="1:10">
      <c r="A289" s="253">
        <v>285</v>
      </c>
      <c r="B289" s="254" t="s">
        <v>1546</v>
      </c>
      <c r="C289" s="254">
        <v>691900</v>
      </c>
      <c r="D289" s="236">
        <f t="shared" si="20"/>
        <v>692000</v>
      </c>
      <c r="E289" s="236">
        <f t="shared" si="21"/>
        <v>762000</v>
      </c>
      <c r="F289" s="236">
        <f t="shared" si="22"/>
        <v>906000</v>
      </c>
      <c r="G289" s="236">
        <f t="shared" si="23"/>
        <v>997000</v>
      </c>
      <c r="H289" s="236">
        <f t="shared" si="24"/>
        <v>1096000</v>
      </c>
      <c r="I289" s="257"/>
      <c r="J289" s="258"/>
    </row>
    <row r="290" spans="1:10">
      <c r="A290" s="253">
        <v>286</v>
      </c>
      <c r="B290" s="254" t="s">
        <v>263</v>
      </c>
      <c r="C290" s="254">
        <v>941600.00000000012</v>
      </c>
      <c r="D290" s="236">
        <f t="shared" si="20"/>
        <v>942000</v>
      </c>
      <c r="E290" s="236">
        <f t="shared" si="21"/>
        <v>1036000</v>
      </c>
      <c r="F290" s="236">
        <f t="shared" si="22"/>
        <v>1233000</v>
      </c>
      <c r="G290" s="236">
        <f t="shared" si="23"/>
        <v>1356000</v>
      </c>
      <c r="H290" s="236">
        <f t="shared" si="24"/>
        <v>1492000</v>
      </c>
      <c r="I290" s="257"/>
      <c r="J290" s="258"/>
    </row>
    <row r="291" spans="1:10">
      <c r="A291" s="253">
        <v>287</v>
      </c>
      <c r="B291" s="254" t="s">
        <v>157</v>
      </c>
      <c r="C291" s="254">
        <v>649000</v>
      </c>
      <c r="D291" s="236">
        <f t="shared" si="20"/>
        <v>649000</v>
      </c>
      <c r="E291" s="236">
        <f t="shared" si="21"/>
        <v>714000</v>
      </c>
      <c r="F291" s="236">
        <f t="shared" si="22"/>
        <v>850000</v>
      </c>
      <c r="G291" s="236">
        <f t="shared" si="23"/>
        <v>935000</v>
      </c>
      <c r="H291" s="236">
        <f t="shared" si="24"/>
        <v>1028000</v>
      </c>
      <c r="I291" s="257"/>
      <c r="J291" s="258"/>
    </row>
    <row r="292" spans="1:10">
      <c r="A292" s="253">
        <v>288</v>
      </c>
      <c r="B292" s="254" t="s">
        <v>991</v>
      </c>
      <c r="C292" s="254">
        <v>1653300.0000000002</v>
      </c>
      <c r="D292" s="236">
        <f t="shared" si="20"/>
        <v>1654000</v>
      </c>
      <c r="E292" s="236">
        <f t="shared" si="21"/>
        <v>1819000</v>
      </c>
      <c r="F292" s="236">
        <f t="shared" si="22"/>
        <v>2165000</v>
      </c>
      <c r="G292" s="236">
        <f t="shared" si="23"/>
        <v>2381000</v>
      </c>
      <c r="H292" s="236">
        <f t="shared" si="24"/>
        <v>2619000</v>
      </c>
      <c r="I292" s="257"/>
      <c r="J292" s="258"/>
    </row>
    <row r="293" spans="1:10">
      <c r="A293" s="253">
        <v>289</v>
      </c>
      <c r="B293" s="254" t="s">
        <v>143</v>
      </c>
      <c r="C293" s="254">
        <v>86900</v>
      </c>
      <c r="D293" s="236">
        <f t="shared" si="20"/>
        <v>87000</v>
      </c>
      <c r="E293" s="236">
        <f t="shared" si="21"/>
        <v>96000</v>
      </c>
      <c r="F293" s="236">
        <f t="shared" si="22"/>
        <v>114000</v>
      </c>
      <c r="G293" s="236">
        <f t="shared" si="23"/>
        <v>126000</v>
      </c>
      <c r="H293" s="236">
        <f t="shared" si="24"/>
        <v>138000</v>
      </c>
      <c r="I293" s="257"/>
      <c r="J293" s="258"/>
    </row>
    <row r="294" spans="1:10">
      <c r="A294" s="253">
        <v>290</v>
      </c>
      <c r="B294" s="254" t="s">
        <v>206</v>
      </c>
      <c r="C294" s="254">
        <v>587400</v>
      </c>
      <c r="D294" s="236">
        <f t="shared" si="20"/>
        <v>588000</v>
      </c>
      <c r="E294" s="236">
        <f t="shared" si="21"/>
        <v>647000</v>
      </c>
      <c r="F294" s="236">
        <f t="shared" si="22"/>
        <v>769000</v>
      </c>
      <c r="G294" s="236">
        <f t="shared" si="23"/>
        <v>846000</v>
      </c>
      <c r="H294" s="236">
        <f t="shared" si="24"/>
        <v>931000</v>
      </c>
      <c r="I294" s="257"/>
      <c r="J294" s="258"/>
    </row>
    <row r="295" spans="1:10">
      <c r="A295" s="253">
        <v>291</v>
      </c>
      <c r="B295" s="254" t="s">
        <v>992</v>
      </c>
      <c r="C295" s="254">
        <v>854700.00000000012</v>
      </c>
      <c r="D295" s="236">
        <f t="shared" si="20"/>
        <v>855000</v>
      </c>
      <c r="E295" s="236">
        <f t="shared" si="21"/>
        <v>941000</v>
      </c>
      <c r="F295" s="236">
        <f t="shared" si="22"/>
        <v>1119000</v>
      </c>
      <c r="G295" s="236">
        <f t="shared" si="23"/>
        <v>1231000</v>
      </c>
      <c r="H295" s="236">
        <f t="shared" si="24"/>
        <v>1354000</v>
      </c>
      <c r="I295" s="257"/>
      <c r="J295" s="258"/>
    </row>
    <row r="296" spans="1:10">
      <c r="A296" s="253">
        <v>292</v>
      </c>
      <c r="B296" s="254" t="s">
        <v>993</v>
      </c>
      <c r="C296" s="254">
        <v>976800.00000000012</v>
      </c>
      <c r="D296" s="236">
        <f t="shared" si="20"/>
        <v>977000</v>
      </c>
      <c r="E296" s="236">
        <f t="shared" si="21"/>
        <v>1075000</v>
      </c>
      <c r="F296" s="236">
        <f t="shared" si="22"/>
        <v>1279000</v>
      </c>
      <c r="G296" s="236">
        <f t="shared" si="23"/>
        <v>1407000</v>
      </c>
      <c r="H296" s="236">
        <f t="shared" si="24"/>
        <v>1548000</v>
      </c>
      <c r="I296" s="257"/>
      <c r="J296" s="258"/>
    </row>
    <row r="297" spans="1:10">
      <c r="A297" s="253">
        <v>293</v>
      </c>
      <c r="B297" s="254" t="s">
        <v>994</v>
      </c>
      <c r="C297" s="254">
        <v>1215500</v>
      </c>
      <c r="D297" s="236">
        <f t="shared" si="20"/>
        <v>1216000</v>
      </c>
      <c r="E297" s="236">
        <f t="shared" si="21"/>
        <v>1338000</v>
      </c>
      <c r="F297" s="236">
        <f t="shared" si="22"/>
        <v>1592000</v>
      </c>
      <c r="G297" s="236">
        <f t="shared" si="23"/>
        <v>1751000</v>
      </c>
      <c r="H297" s="236">
        <f t="shared" si="24"/>
        <v>1926000</v>
      </c>
      <c r="I297" s="257"/>
      <c r="J297" s="258"/>
    </row>
    <row r="298" spans="1:10">
      <c r="A298" s="253">
        <v>294</v>
      </c>
      <c r="B298" s="254" t="s">
        <v>995</v>
      </c>
      <c r="C298" s="254">
        <v>649000</v>
      </c>
      <c r="D298" s="236">
        <f t="shared" si="20"/>
        <v>649000</v>
      </c>
      <c r="E298" s="236">
        <f t="shared" si="21"/>
        <v>714000</v>
      </c>
      <c r="F298" s="236">
        <f t="shared" si="22"/>
        <v>850000</v>
      </c>
      <c r="G298" s="236">
        <f t="shared" si="23"/>
        <v>935000</v>
      </c>
      <c r="H298" s="236">
        <f t="shared" si="24"/>
        <v>1028000</v>
      </c>
      <c r="I298" s="257"/>
      <c r="J298" s="258"/>
    </row>
    <row r="299" spans="1:10">
      <c r="A299" s="253">
        <v>295</v>
      </c>
      <c r="B299" s="254" t="s">
        <v>268</v>
      </c>
      <c r="C299" s="254">
        <v>1578500.0000000002</v>
      </c>
      <c r="D299" s="236">
        <f t="shared" si="20"/>
        <v>1579000</v>
      </c>
      <c r="E299" s="236">
        <f t="shared" si="21"/>
        <v>1737000</v>
      </c>
      <c r="F299" s="236">
        <f t="shared" si="22"/>
        <v>2067000</v>
      </c>
      <c r="G299" s="236">
        <f t="shared" si="23"/>
        <v>2273000</v>
      </c>
      <c r="H299" s="236">
        <f t="shared" si="24"/>
        <v>2501000</v>
      </c>
      <c r="I299" s="257"/>
      <c r="J299" s="258"/>
    </row>
    <row r="300" spans="1:10">
      <c r="A300" s="253">
        <v>296</v>
      </c>
      <c r="B300" s="254" t="s">
        <v>996</v>
      </c>
      <c r="C300" s="254">
        <v>1017500.0000000001</v>
      </c>
      <c r="D300" s="236">
        <f t="shared" si="20"/>
        <v>1018000</v>
      </c>
      <c r="E300" s="236">
        <f t="shared" si="21"/>
        <v>1120000</v>
      </c>
      <c r="F300" s="236">
        <f t="shared" si="22"/>
        <v>1332000</v>
      </c>
      <c r="G300" s="236">
        <f t="shared" si="23"/>
        <v>1466000</v>
      </c>
      <c r="H300" s="236">
        <f t="shared" si="24"/>
        <v>1612000</v>
      </c>
      <c r="I300" s="257"/>
      <c r="J300" s="258"/>
    </row>
    <row r="301" spans="1:10">
      <c r="A301" s="253">
        <v>297</v>
      </c>
      <c r="B301" s="254" t="s">
        <v>170</v>
      </c>
      <c r="C301" s="254">
        <v>95700.000000000015</v>
      </c>
      <c r="D301" s="236">
        <f t="shared" si="20"/>
        <v>96000</v>
      </c>
      <c r="E301" s="236">
        <f t="shared" si="21"/>
        <v>106000</v>
      </c>
      <c r="F301" s="236">
        <f t="shared" si="22"/>
        <v>126000</v>
      </c>
      <c r="G301" s="236">
        <f t="shared" si="23"/>
        <v>138000</v>
      </c>
      <c r="H301" s="236">
        <f t="shared" si="24"/>
        <v>152000</v>
      </c>
      <c r="I301" s="257"/>
      <c r="J301" s="258"/>
    </row>
    <row r="302" spans="1:10">
      <c r="A302" s="253">
        <v>298</v>
      </c>
      <c r="B302" s="254" t="s">
        <v>171</v>
      </c>
      <c r="C302" s="254">
        <v>95700.000000000015</v>
      </c>
      <c r="D302" s="236">
        <f t="shared" si="20"/>
        <v>96000</v>
      </c>
      <c r="E302" s="236">
        <f t="shared" si="21"/>
        <v>106000</v>
      </c>
      <c r="F302" s="236">
        <f t="shared" si="22"/>
        <v>126000</v>
      </c>
      <c r="G302" s="236">
        <f t="shared" si="23"/>
        <v>138000</v>
      </c>
      <c r="H302" s="236">
        <f t="shared" si="24"/>
        <v>152000</v>
      </c>
      <c r="I302" s="257"/>
      <c r="J302" s="258"/>
    </row>
    <row r="303" spans="1:10">
      <c r="A303" s="253">
        <v>299</v>
      </c>
      <c r="B303" s="254" t="s">
        <v>293</v>
      </c>
      <c r="C303" s="254">
        <v>915200.00000000012</v>
      </c>
      <c r="D303" s="236">
        <f t="shared" si="20"/>
        <v>916000</v>
      </c>
      <c r="E303" s="236">
        <f t="shared" si="21"/>
        <v>1007000</v>
      </c>
      <c r="F303" s="236">
        <f t="shared" si="22"/>
        <v>1198000</v>
      </c>
      <c r="G303" s="236">
        <f t="shared" si="23"/>
        <v>1318000</v>
      </c>
      <c r="H303" s="236">
        <f t="shared" si="24"/>
        <v>1450000</v>
      </c>
      <c r="I303" s="257"/>
      <c r="J303" s="258"/>
    </row>
    <row r="304" spans="1:10">
      <c r="A304" s="253">
        <v>300</v>
      </c>
      <c r="B304" s="254" t="s">
        <v>997</v>
      </c>
      <c r="C304" s="254">
        <v>915200.00000000012</v>
      </c>
      <c r="D304" s="236">
        <f t="shared" si="20"/>
        <v>916000</v>
      </c>
      <c r="E304" s="236">
        <f t="shared" si="21"/>
        <v>1007000</v>
      </c>
      <c r="F304" s="236">
        <f t="shared" si="22"/>
        <v>1198000</v>
      </c>
      <c r="G304" s="236">
        <f t="shared" si="23"/>
        <v>1318000</v>
      </c>
      <c r="H304" s="236">
        <f t="shared" si="24"/>
        <v>1450000</v>
      </c>
      <c r="I304" s="257"/>
      <c r="J304" s="258"/>
    </row>
    <row r="305" spans="1:10">
      <c r="A305" s="253">
        <v>301</v>
      </c>
      <c r="B305" s="254" t="s">
        <v>998</v>
      </c>
      <c r="C305" s="254">
        <v>915200.00000000012</v>
      </c>
      <c r="D305" s="236">
        <f t="shared" si="20"/>
        <v>916000</v>
      </c>
      <c r="E305" s="236">
        <f t="shared" si="21"/>
        <v>1007000</v>
      </c>
      <c r="F305" s="236">
        <f t="shared" si="22"/>
        <v>1198000</v>
      </c>
      <c r="G305" s="236">
        <f t="shared" si="23"/>
        <v>1318000</v>
      </c>
      <c r="H305" s="236">
        <f t="shared" si="24"/>
        <v>1450000</v>
      </c>
      <c r="I305" s="257"/>
      <c r="J305" s="258"/>
    </row>
    <row r="306" spans="1:10">
      <c r="A306" s="253">
        <v>302</v>
      </c>
      <c r="B306" s="254" t="s">
        <v>999</v>
      </c>
      <c r="C306" s="254">
        <v>854700.00000000012</v>
      </c>
      <c r="D306" s="236">
        <f t="shared" si="20"/>
        <v>855000</v>
      </c>
      <c r="E306" s="236">
        <f t="shared" si="21"/>
        <v>941000</v>
      </c>
      <c r="F306" s="236">
        <f t="shared" si="22"/>
        <v>1119000</v>
      </c>
      <c r="G306" s="236">
        <f t="shared" si="23"/>
        <v>1231000</v>
      </c>
      <c r="H306" s="236">
        <f t="shared" si="24"/>
        <v>1354000</v>
      </c>
      <c r="I306" s="257"/>
      <c r="J306" s="258"/>
    </row>
    <row r="307" spans="1:10">
      <c r="A307" s="253">
        <v>303</v>
      </c>
      <c r="B307" s="254" t="s">
        <v>1547</v>
      </c>
      <c r="C307" s="254">
        <v>1428900</v>
      </c>
      <c r="D307" s="236">
        <f t="shared" si="20"/>
        <v>1429000</v>
      </c>
      <c r="E307" s="236">
        <f t="shared" si="21"/>
        <v>1572000</v>
      </c>
      <c r="F307" s="236">
        <f t="shared" si="22"/>
        <v>1871000</v>
      </c>
      <c r="G307" s="236">
        <f t="shared" si="23"/>
        <v>2058000</v>
      </c>
      <c r="H307" s="236">
        <f t="shared" si="24"/>
        <v>2264000</v>
      </c>
      <c r="I307" s="257"/>
      <c r="J307" s="258"/>
    </row>
    <row r="308" spans="1:10">
      <c r="A308" s="253">
        <v>304</v>
      </c>
      <c r="B308" s="254" t="s">
        <v>1000</v>
      </c>
      <c r="C308" s="254">
        <v>379500.00000000006</v>
      </c>
      <c r="D308" s="236">
        <f t="shared" si="20"/>
        <v>380000</v>
      </c>
      <c r="E308" s="236">
        <f t="shared" si="21"/>
        <v>418000</v>
      </c>
      <c r="F308" s="236">
        <f t="shared" si="22"/>
        <v>497000</v>
      </c>
      <c r="G308" s="236">
        <f t="shared" si="23"/>
        <v>547000</v>
      </c>
      <c r="H308" s="236">
        <f t="shared" si="24"/>
        <v>602000</v>
      </c>
      <c r="I308" s="257"/>
      <c r="J308" s="258"/>
    </row>
    <row r="309" spans="1:10">
      <c r="A309" s="253">
        <v>305</v>
      </c>
      <c r="B309" s="254" t="s">
        <v>1001</v>
      </c>
      <c r="C309" s="254">
        <v>1459700.0000000002</v>
      </c>
      <c r="D309" s="236">
        <f t="shared" si="20"/>
        <v>1460000</v>
      </c>
      <c r="E309" s="236">
        <f t="shared" si="21"/>
        <v>1606000</v>
      </c>
      <c r="F309" s="236">
        <f t="shared" si="22"/>
        <v>1911000</v>
      </c>
      <c r="G309" s="236">
        <f t="shared" si="23"/>
        <v>2102000</v>
      </c>
      <c r="H309" s="236">
        <f t="shared" si="24"/>
        <v>2313000</v>
      </c>
      <c r="I309" s="257"/>
      <c r="J309" s="258"/>
    </row>
    <row r="310" spans="1:10">
      <c r="A310" s="253">
        <v>306</v>
      </c>
      <c r="B310" s="254" t="s">
        <v>235</v>
      </c>
      <c r="C310" s="254">
        <v>565400</v>
      </c>
      <c r="D310" s="236">
        <f t="shared" si="20"/>
        <v>566000</v>
      </c>
      <c r="E310" s="236">
        <f t="shared" si="21"/>
        <v>622000</v>
      </c>
      <c r="F310" s="236">
        <f t="shared" si="22"/>
        <v>741000</v>
      </c>
      <c r="G310" s="236">
        <f t="shared" si="23"/>
        <v>815000</v>
      </c>
      <c r="H310" s="236">
        <f t="shared" si="24"/>
        <v>896000</v>
      </c>
      <c r="I310" s="257"/>
      <c r="J310" s="258"/>
    </row>
    <row r="311" spans="1:10">
      <c r="A311" s="253">
        <v>307</v>
      </c>
      <c r="B311" s="254" t="s">
        <v>236</v>
      </c>
      <c r="C311" s="254">
        <v>565400</v>
      </c>
      <c r="D311" s="236">
        <f t="shared" si="20"/>
        <v>566000</v>
      </c>
      <c r="E311" s="236">
        <f t="shared" si="21"/>
        <v>622000</v>
      </c>
      <c r="F311" s="236">
        <f t="shared" si="22"/>
        <v>741000</v>
      </c>
      <c r="G311" s="236">
        <f t="shared" si="23"/>
        <v>815000</v>
      </c>
      <c r="H311" s="236">
        <f t="shared" si="24"/>
        <v>896000</v>
      </c>
      <c r="I311" s="257"/>
      <c r="J311" s="258"/>
    </row>
    <row r="312" spans="1:10" ht="15.75" thickBot="1">
      <c r="A312" s="253">
        <v>308</v>
      </c>
      <c r="B312" s="254" t="s">
        <v>1548</v>
      </c>
      <c r="C312" s="254">
        <v>39600</v>
      </c>
      <c r="D312" s="236">
        <f t="shared" si="20"/>
        <v>40000</v>
      </c>
      <c r="E312" s="236">
        <f t="shared" si="21"/>
        <v>44000</v>
      </c>
      <c r="F312" s="236">
        <f t="shared" si="22"/>
        <v>52000</v>
      </c>
      <c r="G312" s="236">
        <f t="shared" si="23"/>
        <v>58000</v>
      </c>
      <c r="H312" s="236">
        <f t="shared" si="24"/>
        <v>63000</v>
      </c>
      <c r="I312" s="259"/>
      <c r="J312" s="260"/>
    </row>
    <row r="313" spans="1:10">
      <c r="A313" s="253">
        <v>309</v>
      </c>
      <c r="B313" s="254" t="s">
        <v>253</v>
      </c>
      <c r="C313" s="254">
        <v>122100.00000000001</v>
      </c>
      <c r="D313" s="236">
        <f t="shared" si="20"/>
        <v>123000</v>
      </c>
      <c r="E313" s="236">
        <f t="shared" si="21"/>
        <v>135000</v>
      </c>
      <c r="F313" s="236">
        <f t="shared" si="22"/>
        <v>160000</v>
      </c>
      <c r="G313" s="236">
        <f t="shared" si="23"/>
        <v>176000</v>
      </c>
      <c r="H313" s="236">
        <f t="shared" si="24"/>
        <v>194000</v>
      </c>
      <c r="I313" s="248"/>
      <c r="J313" s="248"/>
    </row>
    <row r="314" spans="1:10">
      <c r="A314" s="253">
        <v>310</v>
      </c>
      <c r="B314" s="254" t="s">
        <v>1549</v>
      </c>
      <c r="C314" s="254">
        <v>246400.00000000003</v>
      </c>
      <c r="D314" s="236">
        <f t="shared" si="20"/>
        <v>247000</v>
      </c>
      <c r="E314" s="236">
        <f t="shared" si="21"/>
        <v>272000</v>
      </c>
      <c r="F314" s="236">
        <f t="shared" si="22"/>
        <v>323000</v>
      </c>
      <c r="G314" s="236">
        <f t="shared" si="23"/>
        <v>355000</v>
      </c>
      <c r="H314" s="236">
        <f t="shared" si="24"/>
        <v>391000</v>
      </c>
      <c r="I314" s="248"/>
      <c r="J314" s="248"/>
    </row>
    <row r="315" spans="1:10">
      <c r="A315" s="253">
        <v>311</v>
      </c>
      <c r="B315" s="254" t="s">
        <v>245</v>
      </c>
      <c r="C315" s="254">
        <v>1040600.0000000001</v>
      </c>
      <c r="D315" s="236">
        <f t="shared" si="20"/>
        <v>1041000</v>
      </c>
      <c r="E315" s="236">
        <f t="shared" si="21"/>
        <v>1145000</v>
      </c>
      <c r="F315" s="236">
        <f t="shared" si="22"/>
        <v>1363000</v>
      </c>
      <c r="G315" s="236">
        <f t="shared" si="23"/>
        <v>1499000</v>
      </c>
      <c r="H315" s="236">
        <f t="shared" si="24"/>
        <v>1649000</v>
      </c>
      <c r="I315" s="248"/>
      <c r="J315" s="248"/>
    </row>
    <row r="316" spans="1:10">
      <c r="A316" s="253">
        <v>312</v>
      </c>
      <c r="B316" s="254" t="s">
        <v>256</v>
      </c>
      <c r="C316" s="254">
        <v>213400.00000000003</v>
      </c>
      <c r="D316" s="236">
        <f t="shared" si="20"/>
        <v>214000</v>
      </c>
      <c r="E316" s="236">
        <f t="shared" si="21"/>
        <v>235000</v>
      </c>
      <c r="F316" s="236">
        <f t="shared" si="22"/>
        <v>280000</v>
      </c>
      <c r="G316" s="236">
        <f t="shared" si="23"/>
        <v>308000</v>
      </c>
      <c r="H316" s="236">
        <f t="shared" si="24"/>
        <v>339000</v>
      </c>
      <c r="I316" s="248"/>
      <c r="J316" s="248"/>
    </row>
    <row r="317" spans="1:10">
      <c r="A317" s="253">
        <v>313</v>
      </c>
      <c r="B317" s="254" t="s">
        <v>161</v>
      </c>
      <c r="C317" s="254">
        <v>693000</v>
      </c>
      <c r="D317" s="236">
        <f t="shared" si="20"/>
        <v>693000</v>
      </c>
      <c r="E317" s="236">
        <f t="shared" si="21"/>
        <v>763000</v>
      </c>
      <c r="F317" s="236">
        <f t="shared" si="22"/>
        <v>908000</v>
      </c>
      <c r="G317" s="236">
        <f t="shared" si="23"/>
        <v>998000</v>
      </c>
      <c r="H317" s="236">
        <f t="shared" si="24"/>
        <v>1098000</v>
      </c>
      <c r="I317" s="248"/>
      <c r="J317" s="248"/>
    </row>
    <row r="318" spans="1:10">
      <c r="A318" s="253">
        <v>314</v>
      </c>
      <c r="B318" s="254" t="s">
        <v>1002</v>
      </c>
      <c r="C318" s="254">
        <v>282700</v>
      </c>
      <c r="D318" s="236">
        <f t="shared" si="20"/>
        <v>283000</v>
      </c>
      <c r="E318" s="236">
        <f t="shared" si="21"/>
        <v>311000</v>
      </c>
      <c r="F318" s="236">
        <f t="shared" si="22"/>
        <v>371000</v>
      </c>
      <c r="G318" s="236">
        <f t="shared" si="23"/>
        <v>408000</v>
      </c>
      <c r="H318" s="236">
        <f t="shared" si="24"/>
        <v>448000</v>
      </c>
      <c r="I318" s="248"/>
      <c r="J318" s="248"/>
    </row>
    <row r="319" spans="1:10">
      <c r="A319" s="253">
        <v>315</v>
      </c>
      <c r="B319" s="254" t="s">
        <v>1003</v>
      </c>
      <c r="C319" s="254">
        <v>913000.00000000012</v>
      </c>
      <c r="D319" s="236">
        <f t="shared" si="20"/>
        <v>913000</v>
      </c>
      <c r="E319" s="236">
        <f t="shared" si="21"/>
        <v>1005000</v>
      </c>
      <c r="F319" s="236">
        <f t="shared" si="22"/>
        <v>1196000</v>
      </c>
      <c r="G319" s="236">
        <f t="shared" si="23"/>
        <v>1315000</v>
      </c>
      <c r="H319" s="236">
        <f t="shared" si="24"/>
        <v>1447000</v>
      </c>
      <c r="I319" s="248"/>
      <c r="J319" s="248"/>
    </row>
    <row r="320" spans="1:10">
      <c r="A320" s="253">
        <v>316</v>
      </c>
      <c r="B320" s="254" t="s">
        <v>1004</v>
      </c>
      <c r="C320" s="254">
        <v>1296900</v>
      </c>
      <c r="D320" s="236">
        <f t="shared" si="20"/>
        <v>1297000</v>
      </c>
      <c r="E320" s="236">
        <f t="shared" si="21"/>
        <v>1427000</v>
      </c>
      <c r="F320" s="236">
        <f t="shared" si="22"/>
        <v>1698000</v>
      </c>
      <c r="G320" s="236">
        <f t="shared" si="23"/>
        <v>1868000</v>
      </c>
      <c r="H320" s="236">
        <f t="shared" si="24"/>
        <v>2055000</v>
      </c>
      <c r="I320" s="248"/>
      <c r="J320" s="248"/>
    </row>
    <row r="321" spans="1:10">
      <c r="A321" s="253">
        <v>317</v>
      </c>
      <c r="B321" s="254" t="s">
        <v>1005</v>
      </c>
      <c r="C321" s="254">
        <v>913000.00000000012</v>
      </c>
      <c r="D321" s="236">
        <f t="shared" si="20"/>
        <v>913000</v>
      </c>
      <c r="E321" s="236">
        <f t="shared" si="21"/>
        <v>1005000</v>
      </c>
      <c r="F321" s="236">
        <f t="shared" si="22"/>
        <v>1196000</v>
      </c>
      <c r="G321" s="236">
        <f t="shared" si="23"/>
        <v>1315000</v>
      </c>
      <c r="H321" s="236">
        <f t="shared" si="24"/>
        <v>1447000</v>
      </c>
      <c r="I321" s="248"/>
      <c r="J321" s="248"/>
    </row>
    <row r="322" spans="1:10">
      <c r="A322" s="253">
        <v>318</v>
      </c>
      <c r="B322" s="254" t="s">
        <v>208</v>
      </c>
      <c r="C322" s="254">
        <v>336600</v>
      </c>
      <c r="D322" s="236">
        <f t="shared" si="20"/>
        <v>337000</v>
      </c>
      <c r="E322" s="236">
        <f t="shared" si="21"/>
        <v>371000</v>
      </c>
      <c r="F322" s="236">
        <f t="shared" si="22"/>
        <v>441000</v>
      </c>
      <c r="G322" s="236">
        <f t="shared" si="23"/>
        <v>485000</v>
      </c>
      <c r="H322" s="236">
        <f t="shared" si="24"/>
        <v>534000</v>
      </c>
      <c r="I322" s="248"/>
      <c r="J322" s="248"/>
    </row>
    <row r="323" spans="1:10">
      <c r="A323" s="253">
        <v>319</v>
      </c>
      <c r="B323" s="254" t="s">
        <v>164</v>
      </c>
      <c r="C323" s="254">
        <v>851400.00000000012</v>
      </c>
      <c r="D323" s="236">
        <f t="shared" si="20"/>
        <v>852000</v>
      </c>
      <c r="E323" s="236">
        <f t="shared" si="21"/>
        <v>937000</v>
      </c>
      <c r="F323" s="236">
        <f t="shared" si="22"/>
        <v>1115000</v>
      </c>
      <c r="G323" s="236">
        <f t="shared" si="23"/>
        <v>1226000</v>
      </c>
      <c r="H323" s="236">
        <f t="shared" si="24"/>
        <v>1349000</v>
      </c>
      <c r="I323" s="248"/>
      <c r="J323" s="248"/>
    </row>
    <row r="324" spans="1:10">
      <c r="A324" s="253">
        <v>320</v>
      </c>
      <c r="B324" s="254" t="s">
        <v>187</v>
      </c>
      <c r="C324" s="254">
        <v>119900.00000000001</v>
      </c>
      <c r="D324" s="236">
        <f t="shared" si="20"/>
        <v>120000</v>
      </c>
      <c r="E324" s="236">
        <f t="shared" si="21"/>
        <v>132000</v>
      </c>
      <c r="F324" s="236">
        <f t="shared" si="22"/>
        <v>157000</v>
      </c>
      <c r="G324" s="236">
        <f t="shared" si="23"/>
        <v>173000</v>
      </c>
      <c r="H324" s="236">
        <f t="shared" si="24"/>
        <v>190000</v>
      </c>
      <c r="I324" s="248"/>
      <c r="J324" s="248"/>
    </row>
    <row r="325" spans="1:10">
      <c r="A325" s="253">
        <v>321</v>
      </c>
      <c r="B325" s="254" t="s">
        <v>141</v>
      </c>
      <c r="C325" s="254">
        <v>68200</v>
      </c>
      <c r="D325" s="236">
        <f t="shared" si="20"/>
        <v>69000</v>
      </c>
      <c r="E325" s="236">
        <f t="shared" si="21"/>
        <v>76000</v>
      </c>
      <c r="F325" s="236">
        <f t="shared" si="22"/>
        <v>90000</v>
      </c>
      <c r="G325" s="236">
        <f t="shared" si="23"/>
        <v>99000</v>
      </c>
      <c r="H325" s="236">
        <f t="shared" si="24"/>
        <v>109000</v>
      </c>
      <c r="I325" s="248"/>
      <c r="J325" s="248"/>
    </row>
    <row r="326" spans="1:10">
      <c r="A326" s="253">
        <v>322</v>
      </c>
      <c r="B326" s="254" t="s">
        <v>1550</v>
      </c>
      <c r="C326" s="254">
        <v>1039500.0000000001</v>
      </c>
      <c r="D326" s="236">
        <f t="shared" ref="D326:D343" si="25">ROUNDUP(C326,-3)</f>
        <v>1040000</v>
      </c>
      <c r="E326" s="236">
        <f t="shared" ref="E326:E343" si="26">ROUNDUP($C326*1.1,-3)</f>
        <v>1144000</v>
      </c>
      <c r="F326" s="236">
        <f t="shared" ref="F326:F343" si="27">ROUNDUP($C326*1.1*1.19,-3)</f>
        <v>1361000</v>
      </c>
      <c r="G326" s="236">
        <f t="shared" ref="G326:G343" si="28">ROUNDUP($C326*1.1*1.19*1.1,-3)</f>
        <v>1497000</v>
      </c>
      <c r="H326" s="236">
        <f t="shared" ref="H326:H343" si="29">ROUNDUP($C326*1.1*1.19*1.1*1.1,-3)</f>
        <v>1647000</v>
      </c>
      <c r="I326" s="248"/>
      <c r="J326" s="248"/>
    </row>
    <row r="327" spans="1:10">
      <c r="A327" s="253">
        <v>323</v>
      </c>
      <c r="B327" s="254" t="s">
        <v>193</v>
      </c>
      <c r="C327" s="254">
        <v>1321100</v>
      </c>
      <c r="D327" s="236">
        <f t="shared" si="25"/>
        <v>1322000</v>
      </c>
      <c r="E327" s="236">
        <f t="shared" si="26"/>
        <v>1454000</v>
      </c>
      <c r="F327" s="236">
        <f t="shared" si="27"/>
        <v>1730000</v>
      </c>
      <c r="G327" s="236">
        <f t="shared" si="28"/>
        <v>1903000</v>
      </c>
      <c r="H327" s="236">
        <f t="shared" si="29"/>
        <v>2093000</v>
      </c>
      <c r="I327" s="248"/>
      <c r="J327" s="248"/>
    </row>
    <row r="328" spans="1:10">
      <c r="A328" s="253">
        <v>324</v>
      </c>
      <c r="B328" s="254" t="s">
        <v>1006</v>
      </c>
      <c r="C328" s="254">
        <v>625900</v>
      </c>
      <c r="D328" s="236">
        <f t="shared" si="25"/>
        <v>626000</v>
      </c>
      <c r="E328" s="236">
        <f t="shared" si="26"/>
        <v>689000</v>
      </c>
      <c r="F328" s="236">
        <f t="shared" si="27"/>
        <v>820000</v>
      </c>
      <c r="G328" s="236">
        <f t="shared" si="28"/>
        <v>902000</v>
      </c>
      <c r="H328" s="236">
        <f t="shared" si="29"/>
        <v>992000</v>
      </c>
      <c r="I328" s="248"/>
      <c r="J328" s="248"/>
    </row>
    <row r="329" spans="1:10">
      <c r="A329" s="253">
        <v>325</v>
      </c>
      <c r="B329" s="254" t="s">
        <v>1551</v>
      </c>
      <c r="C329" s="254">
        <v>493900.00000000006</v>
      </c>
      <c r="D329" s="236">
        <f t="shared" si="25"/>
        <v>494000</v>
      </c>
      <c r="E329" s="236">
        <f t="shared" si="26"/>
        <v>544000</v>
      </c>
      <c r="F329" s="236">
        <f t="shared" si="27"/>
        <v>647000</v>
      </c>
      <c r="G329" s="236">
        <f t="shared" si="28"/>
        <v>712000</v>
      </c>
      <c r="H329" s="236">
        <f t="shared" si="29"/>
        <v>783000</v>
      </c>
      <c r="I329" s="248"/>
      <c r="J329" s="248"/>
    </row>
    <row r="330" spans="1:10">
      <c r="A330" s="253">
        <v>326</v>
      </c>
      <c r="B330" s="254" t="s">
        <v>241</v>
      </c>
      <c r="C330" s="254">
        <v>770000.00000000012</v>
      </c>
      <c r="D330" s="236">
        <f t="shared" si="25"/>
        <v>770000</v>
      </c>
      <c r="E330" s="236">
        <f t="shared" si="26"/>
        <v>847000</v>
      </c>
      <c r="F330" s="236">
        <f t="shared" si="27"/>
        <v>1008000</v>
      </c>
      <c r="G330" s="236">
        <f t="shared" si="28"/>
        <v>1109000</v>
      </c>
      <c r="H330" s="236">
        <f t="shared" si="29"/>
        <v>1220000</v>
      </c>
      <c r="I330" s="248"/>
      <c r="J330" s="248"/>
    </row>
    <row r="331" spans="1:10">
      <c r="A331" s="253">
        <v>327</v>
      </c>
      <c r="B331" s="254" t="s">
        <v>1007</v>
      </c>
      <c r="C331" s="254">
        <v>416900.00000000006</v>
      </c>
      <c r="D331" s="236">
        <f t="shared" si="25"/>
        <v>417000</v>
      </c>
      <c r="E331" s="236">
        <f t="shared" si="26"/>
        <v>459000</v>
      </c>
      <c r="F331" s="236">
        <f t="shared" si="27"/>
        <v>546000</v>
      </c>
      <c r="G331" s="236">
        <f t="shared" si="28"/>
        <v>601000</v>
      </c>
      <c r="H331" s="236">
        <f t="shared" si="29"/>
        <v>661000</v>
      </c>
      <c r="I331" s="248"/>
      <c r="J331" s="248"/>
    </row>
    <row r="332" spans="1:10">
      <c r="A332" s="253">
        <v>328</v>
      </c>
      <c r="B332" s="254" t="s">
        <v>211</v>
      </c>
      <c r="C332" s="254">
        <v>443300.00000000006</v>
      </c>
      <c r="D332" s="236">
        <f t="shared" si="25"/>
        <v>444000</v>
      </c>
      <c r="E332" s="236">
        <f t="shared" si="26"/>
        <v>488000</v>
      </c>
      <c r="F332" s="236">
        <f t="shared" si="27"/>
        <v>581000</v>
      </c>
      <c r="G332" s="236">
        <f t="shared" si="28"/>
        <v>639000</v>
      </c>
      <c r="H332" s="236">
        <f t="shared" si="29"/>
        <v>703000</v>
      </c>
      <c r="I332" s="248"/>
      <c r="J332" s="248"/>
    </row>
    <row r="333" spans="1:10">
      <c r="A333" s="253">
        <v>329</v>
      </c>
      <c r="B333" s="254" t="s">
        <v>1008</v>
      </c>
      <c r="C333" s="254">
        <v>132000</v>
      </c>
      <c r="D333" s="236">
        <f t="shared" si="25"/>
        <v>132000</v>
      </c>
      <c r="E333" s="236">
        <f t="shared" si="26"/>
        <v>146000</v>
      </c>
      <c r="F333" s="236">
        <f t="shared" si="27"/>
        <v>173000</v>
      </c>
      <c r="G333" s="236">
        <f t="shared" si="28"/>
        <v>191000</v>
      </c>
      <c r="H333" s="236">
        <f t="shared" si="29"/>
        <v>210000</v>
      </c>
      <c r="I333" s="248"/>
      <c r="J333" s="248"/>
    </row>
    <row r="334" spans="1:10">
      <c r="A334" s="253">
        <v>330</v>
      </c>
      <c r="B334" s="254" t="s">
        <v>174</v>
      </c>
      <c r="C334" s="254">
        <v>88000</v>
      </c>
      <c r="D334" s="236">
        <f t="shared" si="25"/>
        <v>88000</v>
      </c>
      <c r="E334" s="236">
        <f t="shared" si="26"/>
        <v>97000</v>
      </c>
      <c r="F334" s="236">
        <f t="shared" si="27"/>
        <v>116000</v>
      </c>
      <c r="G334" s="236">
        <f t="shared" si="28"/>
        <v>127000</v>
      </c>
      <c r="H334" s="236">
        <f t="shared" si="29"/>
        <v>140000</v>
      </c>
      <c r="I334" s="248"/>
      <c r="J334" s="248"/>
    </row>
    <row r="335" spans="1:10">
      <c r="A335" s="253">
        <v>331</v>
      </c>
      <c r="B335" s="254" t="s">
        <v>1552</v>
      </c>
      <c r="C335" s="254">
        <v>135300</v>
      </c>
      <c r="D335" s="236">
        <f t="shared" si="25"/>
        <v>136000</v>
      </c>
      <c r="E335" s="236">
        <f t="shared" si="26"/>
        <v>149000</v>
      </c>
      <c r="F335" s="236">
        <f t="shared" si="27"/>
        <v>178000</v>
      </c>
      <c r="G335" s="236">
        <f t="shared" si="28"/>
        <v>195000</v>
      </c>
      <c r="H335" s="236">
        <f t="shared" si="29"/>
        <v>215000</v>
      </c>
      <c r="I335" s="248"/>
      <c r="J335" s="248"/>
    </row>
    <row r="336" spans="1:10">
      <c r="A336" s="253">
        <v>332</v>
      </c>
      <c r="B336" s="254" t="s">
        <v>252</v>
      </c>
      <c r="C336" s="254">
        <v>106700.00000000001</v>
      </c>
      <c r="D336" s="236">
        <f t="shared" si="25"/>
        <v>107000</v>
      </c>
      <c r="E336" s="236">
        <f t="shared" si="26"/>
        <v>118000</v>
      </c>
      <c r="F336" s="236">
        <f t="shared" si="27"/>
        <v>140000</v>
      </c>
      <c r="G336" s="236">
        <f t="shared" si="28"/>
        <v>154000</v>
      </c>
      <c r="H336" s="236">
        <f t="shared" si="29"/>
        <v>170000</v>
      </c>
      <c r="I336" s="248"/>
      <c r="J336" s="248"/>
    </row>
    <row r="337" spans="1:10">
      <c r="A337" s="253">
        <v>333</v>
      </c>
      <c r="B337" s="254" t="s">
        <v>207</v>
      </c>
      <c r="C337" s="254">
        <v>234300.00000000003</v>
      </c>
      <c r="D337" s="236">
        <f t="shared" si="25"/>
        <v>235000</v>
      </c>
      <c r="E337" s="236">
        <f t="shared" si="26"/>
        <v>258000</v>
      </c>
      <c r="F337" s="236">
        <f t="shared" si="27"/>
        <v>307000</v>
      </c>
      <c r="G337" s="236">
        <f t="shared" si="28"/>
        <v>338000</v>
      </c>
      <c r="H337" s="236">
        <f t="shared" si="29"/>
        <v>372000</v>
      </c>
      <c r="I337" s="248"/>
      <c r="J337" s="248"/>
    </row>
    <row r="338" spans="1:10">
      <c r="A338" s="253">
        <v>334</v>
      </c>
      <c r="B338" s="254" t="s">
        <v>1009</v>
      </c>
      <c r="C338" s="254">
        <v>310200</v>
      </c>
      <c r="D338" s="236">
        <f t="shared" si="25"/>
        <v>311000</v>
      </c>
      <c r="E338" s="236">
        <f t="shared" si="26"/>
        <v>342000</v>
      </c>
      <c r="F338" s="236">
        <f t="shared" si="27"/>
        <v>407000</v>
      </c>
      <c r="G338" s="236">
        <f t="shared" si="28"/>
        <v>447000</v>
      </c>
      <c r="H338" s="236">
        <f t="shared" si="29"/>
        <v>492000</v>
      </c>
      <c r="I338" s="248"/>
      <c r="J338" s="248"/>
    </row>
    <row r="339" spans="1:10">
      <c r="A339" s="253">
        <v>335</v>
      </c>
      <c r="B339" s="254" t="s">
        <v>1010</v>
      </c>
      <c r="C339" s="254">
        <v>262900</v>
      </c>
      <c r="D339" s="236">
        <f t="shared" si="25"/>
        <v>263000</v>
      </c>
      <c r="E339" s="236">
        <f t="shared" si="26"/>
        <v>290000</v>
      </c>
      <c r="F339" s="236">
        <f t="shared" si="27"/>
        <v>345000</v>
      </c>
      <c r="G339" s="236">
        <f t="shared" si="28"/>
        <v>379000</v>
      </c>
      <c r="H339" s="236">
        <f t="shared" si="29"/>
        <v>417000</v>
      </c>
      <c r="I339" s="248"/>
      <c r="J339" s="248"/>
    </row>
    <row r="340" spans="1:10">
      <c r="A340" s="253">
        <v>336</v>
      </c>
      <c r="B340" s="254" t="s">
        <v>1011</v>
      </c>
      <c r="C340" s="254">
        <v>2043800.0000000002</v>
      </c>
      <c r="D340" s="236">
        <f t="shared" si="25"/>
        <v>2044000</v>
      </c>
      <c r="E340" s="236">
        <f t="shared" si="26"/>
        <v>2249000</v>
      </c>
      <c r="F340" s="236">
        <f t="shared" si="27"/>
        <v>2676000</v>
      </c>
      <c r="G340" s="236">
        <f t="shared" si="28"/>
        <v>2943000</v>
      </c>
      <c r="H340" s="236">
        <f t="shared" si="29"/>
        <v>3238000</v>
      </c>
      <c r="I340" s="248"/>
      <c r="J340" s="248"/>
    </row>
    <row r="341" spans="1:10">
      <c r="A341" s="253">
        <v>337</v>
      </c>
      <c r="B341" s="237" t="s">
        <v>234</v>
      </c>
      <c r="C341" s="254">
        <v>695000</v>
      </c>
      <c r="D341" s="236">
        <f t="shared" si="25"/>
        <v>695000</v>
      </c>
      <c r="E341" s="236">
        <f t="shared" si="26"/>
        <v>765000</v>
      </c>
      <c r="F341" s="236">
        <f t="shared" si="27"/>
        <v>910000</v>
      </c>
      <c r="G341" s="236">
        <f t="shared" si="28"/>
        <v>1001000</v>
      </c>
      <c r="H341" s="236">
        <f t="shared" si="29"/>
        <v>1101000</v>
      </c>
      <c r="I341" s="248"/>
      <c r="J341" s="248"/>
    </row>
    <row r="342" spans="1:10">
      <c r="A342" s="253">
        <v>338</v>
      </c>
      <c r="B342" s="254" t="s">
        <v>203</v>
      </c>
      <c r="C342" s="254">
        <v>207900.00000000003</v>
      </c>
      <c r="D342" s="236">
        <f t="shared" si="25"/>
        <v>208000</v>
      </c>
      <c r="E342" s="236">
        <f t="shared" si="26"/>
        <v>229000</v>
      </c>
      <c r="F342" s="236">
        <f t="shared" si="27"/>
        <v>273000</v>
      </c>
      <c r="G342" s="236">
        <f t="shared" si="28"/>
        <v>300000</v>
      </c>
      <c r="H342" s="236">
        <f t="shared" si="29"/>
        <v>330000</v>
      </c>
      <c r="I342" s="248"/>
      <c r="J342" s="248"/>
    </row>
    <row r="343" spans="1:10">
      <c r="A343" s="253">
        <v>339</v>
      </c>
      <c r="B343" s="254" t="s">
        <v>1553</v>
      </c>
      <c r="C343" s="254">
        <v>541200</v>
      </c>
      <c r="D343" s="236">
        <f t="shared" si="25"/>
        <v>542000</v>
      </c>
      <c r="E343" s="236">
        <f t="shared" si="26"/>
        <v>596000</v>
      </c>
      <c r="F343" s="236">
        <f t="shared" si="27"/>
        <v>709000</v>
      </c>
      <c r="G343" s="236">
        <f t="shared" si="28"/>
        <v>780000</v>
      </c>
      <c r="H343" s="236">
        <f t="shared" si="29"/>
        <v>858000</v>
      </c>
      <c r="I343" s="248"/>
      <c r="J343" s="248"/>
    </row>
    <row r="345" spans="1:10">
      <c r="A345" s="61" t="s">
        <v>1554</v>
      </c>
    </row>
  </sheetData>
  <sheetProtection algorithmName="SHA-512" hashValue="06VKW2BdAX4KLtKHagV3sqcAism+3KKgyFjxy68dBlIr85LjA/85HjdSy2wA3I2XCM2s/BFDQEj+6EXnfcWydw==" saltValue="DihJyqMDs+XtLVLhucyQ0g==" spinCount="100000" sheet="1" objects="1" scenarios="1"/>
  <conditionalFormatting sqref="B1:B4 B344:B1048576">
    <cfRule type="duplicateValues" dxfId="2" priority="2"/>
    <cfRule type="duplicateValues" dxfId="1" priority="3"/>
  </conditionalFormatting>
  <conditionalFormatting sqref="B5:B343">
    <cfRule type="duplicateValues" dxfId="0" priority="1"/>
  </conditionalFormatting>
  <pageMargins left="0.25" right="0.25" top="0.75" bottom="0.75" header="0.3" footer="0.3"/>
  <pageSetup paperSize="9" scale="60" fitToHeight="0" orientation="portrait" horizontalDpi="4294967293" r:id="rId1"/>
  <headerFooter>
    <oddHeader>&amp;R&amp;"-,Bold"LABORATORIUM</oddHeader>
    <oddFooter>&amp;L&amp;P+31 | &amp;F&amp;RTARIF PEMERIKSAAN LABORATORIUM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5BC42-621C-40C8-B74E-E0133AECCC78}">
  <dimension ref="A1:B197"/>
  <sheetViews>
    <sheetView workbookViewId="0">
      <selection activeCell="B5" sqref="B5"/>
    </sheetView>
  </sheetViews>
  <sheetFormatPr defaultRowHeight="15"/>
  <cols>
    <col min="2" max="2" width="9.140625" style="185"/>
  </cols>
  <sheetData>
    <row r="1" spans="1:2" ht="27" thickBot="1">
      <c r="A1" s="181" t="s">
        <v>1012</v>
      </c>
      <c r="B1" s="183" t="s">
        <v>1013</v>
      </c>
    </row>
    <row r="2" spans="1:2" ht="27" thickBot="1">
      <c r="A2" s="181" t="s">
        <v>1014</v>
      </c>
      <c r="B2" s="183" t="s">
        <v>1013</v>
      </c>
    </row>
    <row r="3" spans="1:2" ht="65.25" thickBot="1">
      <c r="A3" s="181" t="s">
        <v>874</v>
      </c>
      <c r="B3" s="183" t="s">
        <v>1015</v>
      </c>
    </row>
    <row r="4" spans="1:2" ht="27" thickBot="1">
      <c r="A4" s="182" t="s">
        <v>262</v>
      </c>
      <c r="B4" s="184">
        <v>828.85</v>
      </c>
    </row>
    <row r="5" spans="1:2" ht="52.5" thickBot="1">
      <c r="A5" s="182" t="s">
        <v>153</v>
      </c>
      <c r="B5" s="184">
        <v>768.35</v>
      </c>
    </row>
    <row r="6" spans="1:2" ht="39.75" thickBot="1">
      <c r="A6" s="181" t="s">
        <v>875</v>
      </c>
      <c r="B6" s="183" t="s">
        <v>1016</v>
      </c>
    </row>
    <row r="7" spans="1:2" ht="27" thickBot="1">
      <c r="A7" s="181" t="s">
        <v>876</v>
      </c>
      <c r="B7" s="183">
        <v>321.75</v>
      </c>
    </row>
    <row r="8" spans="1:2" ht="15.75" thickBot="1">
      <c r="A8" s="182" t="s">
        <v>231</v>
      </c>
      <c r="B8" s="184">
        <v>691.9</v>
      </c>
    </row>
    <row r="9" spans="1:2" ht="15.75" thickBot="1">
      <c r="A9" s="181" t="s">
        <v>877</v>
      </c>
      <c r="B9" s="183">
        <v>532.4</v>
      </c>
    </row>
    <row r="10" spans="1:2" ht="27" thickBot="1">
      <c r="A10" s="181" t="s">
        <v>1017</v>
      </c>
      <c r="B10" s="183">
        <v>787.05</v>
      </c>
    </row>
    <row r="11" spans="1:2" ht="27" thickBot="1">
      <c r="A11" s="181" t="s">
        <v>878</v>
      </c>
      <c r="B11" s="183" t="s">
        <v>1018</v>
      </c>
    </row>
    <row r="12" spans="1:2" ht="27" thickBot="1">
      <c r="A12" s="182" t="s">
        <v>229</v>
      </c>
      <c r="B12" s="184" t="s">
        <v>1019</v>
      </c>
    </row>
    <row r="13" spans="1:2" ht="27" thickBot="1">
      <c r="A13" s="181" t="s">
        <v>879</v>
      </c>
      <c r="B13" s="183" t="s">
        <v>1020</v>
      </c>
    </row>
    <row r="14" spans="1:2" ht="39.75" thickBot="1">
      <c r="A14" s="182" t="s">
        <v>296</v>
      </c>
      <c r="B14" s="184">
        <v>596.20000000000005</v>
      </c>
    </row>
    <row r="15" spans="1:2" ht="65.25" thickBot="1">
      <c r="A15" s="182" t="s">
        <v>1021</v>
      </c>
      <c r="B15" s="184" t="s">
        <v>1022</v>
      </c>
    </row>
    <row r="16" spans="1:2" ht="27" thickBot="1">
      <c r="A16" s="182" t="s">
        <v>881</v>
      </c>
      <c r="B16" s="184" t="s">
        <v>1023</v>
      </c>
    </row>
    <row r="17" spans="1:2" ht="27" thickBot="1">
      <c r="A17" s="182" t="s">
        <v>882</v>
      </c>
      <c r="B17" s="184" t="s">
        <v>1024</v>
      </c>
    </row>
    <row r="18" spans="1:2" ht="27" thickBot="1">
      <c r="A18" s="182" t="s">
        <v>218</v>
      </c>
      <c r="B18" s="184">
        <v>829.4</v>
      </c>
    </row>
    <row r="19" spans="1:2" ht="27" thickBot="1">
      <c r="A19" s="182" t="s">
        <v>219</v>
      </c>
      <c r="B19" s="184" t="s">
        <v>1025</v>
      </c>
    </row>
    <row r="20" spans="1:2" ht="27" thickBot="1">
      <c r="A20" s="182" t="s">
        <v>228</v>
      </c>
      <c r="B20" s="184" t="s">
        <v>1026</v>
      </c>
    </row>
    <row r="21" spans="1:2" ht="15.75" thickBot="1">
      <c r="A21" s="182" t="s">
        <v>1027</v>
      </c>
      <c r="B21" s="184">
        <v>862.4</v>
      </c>
    </row>
    <row r="22" spans="1:2" ht="27" thickBot="1">
      <c r="A22" s="182" t="s">
        <v>1028</v>
      </c>
      <c r="B22" s="184" t="s">
        <v>1029</v>
      </c>
    </row>
    <row r="23" spans="1:2" ht="27" thickBot="1">
      <c r="A23" s="182" t="s">
        <v>209</v>
      </c>
      <c r="B23" s="184" t="s">
        <v>1030</v>
      </c>
    </row>
    <row r="24" spans="1:2" ht="39.75" thickBot="1">
      <c r="A24" s="182" t="s">
        <v>1031</v>
      </c>
      <c r="B24" s="184">
        <v>769.45</v>
      </c>
    </row>
    <row r="25" spans="1:2" ht="27" thickBot="1">
      <c r="A25" s="182" t="s">
        <v>212</v>
      </c>
      <c r="B25" s="184">
        <v>949.3</v>
      </c>
    </row>
    <row r="26" spans="1:2" ht="27" thickBot="1">
      <c r="A26" s="182" t="s">
        <v>892</v>
      </c>
      <c r="B26" s="184" t="s">
        <v>1032</v>
      </c>
    </row>
    <row r="27" spans="1:2" ht="39.75" thickBot="1">
      <c r="A27" s="182" t="s">
        <v>220</v>
      </c>
      <c r="B27" s="184">
        <v>782.1</v>
      </c>
    </row>
    <row r="28" spans="1:2" ht="39.75" thickBot="1">
      <c r="A28" s="182" t="s">
        <v>221</v>
      </c>
      <c r="B28" s="184">
        <v>782.1</v>
      </c>
    </row>
    <row r="29" spans="1:2" ht="39.75" thickBot="1">
      <c r="A29" s="182" t="s">
        <v>222</v>
      </c>
      <c r="B29" s="184">
        <v>849.2</v>
      </c>
    </row>
    <row r="30" spans="1:2" ht="39.75" thickBot="1">
      <c r="A30" s="182" t="s">
        <v>223</v>
      </c>
      <c r="B30" s="184">
        <v>849.2</v>
      </c>
    </row>
    <row r="31" spans="1:2" ht="52.5" thickBot="1">
      <c r="A31" s="182" t="s">
        <v>897</v>
      </c>
      <c r="B31" s="184">
        <v>808.5</v>
      </c>
    </row>
    <row r="32" spans="1:2" ht="15.75" thickBot="1">
      <c r="A32" s="182" t="s">
        <v>188</v>
      </c>
      <c r="B32" s="184">
        <v>658.35</v>
      </c>
    </row>
    <row r="33" spans="1:2" ht="15.75" thickBot="1">
      <c r="A33" s="182" t="s">
        <v>189</v>
      </c>
      <c r="B33" s="184">
        <v>486.2</v>
      </c>
    </row>
    <row r="34" spans="1:2" ht="15.75" thickBot="1">
      <c r="A34" s="182" t="s">
        <v>1033</v>
      </c>
      <c r="B34" s="184">
        <v>189.2</v>
      </c>
    </row>
    <row r="35" spans="1:2" ht="15.75" thickBot="1">
      <c r="A35" s="182" t="s">
        <v>156</v>
      </c>
      <c r="B35" s="184">
        <v>311.85000000000002</v>
      </c>
    </row>
    <row r="36" spans="1:2" ht="15.75" thickBot="1">
      <c r="A36" s="182" t="s">
        <v>156</v>
      </c>
      <c r="B36" s="184">
        <v>311.85000000000002</v>
      </c>
    </row>
    <row r="37" spans="1:2" ht="15.75" thickBot="1">
      <c r="A37" s="182" t="s">
        <v>1034</v>
      </c>
      <c r="B37" s="184">
        <v>376.75</v>
      </c>
    </row>
    <row r="38" spans="1:2" ht="27" thickBot="1">
      <c r="A38" s="182" t="s">
        <v>900</v>
      </c>
      <c r="B38" s="184" t="s">
        <v>1035</v>
      </c>
    </row>
    <row r="39" spans="1:2" ht="27" thickBot="1">
      <c r="A39" s="182" t="s">
        <v>901</v>
      </c>
      <c r="B39" s="184">
        <v>630.85</v>
      </c>
    </row>
    <row r="40" spans="1:2" ht="15.75" thickBot="1">
      <c r="A40" s="182" t="s">
        <v>205</v>
      </c>
      <c r="B40" s="184">
        <v>623.70000000000005</v>
      </c>
    </row>
    <row r="41" spans="1:2" ht="39.75" thickBot="1">
      <c r="A41" s="182" t="s">
        <v>248</v>
      </c>
      <c r="B41" s="184" t="s">
        <v>1036</v>
      </c>
    </row>
    <row r="42" spans="1:2" ht="27" thickBot="1">
      <c r="A42" s="181" t="s">
        <v>162</v>
      </c>
      <c r="B42" s="183">
        <v>446.6</v>
      </c>
    </row>
    <row r="43" spans="1:2" ht="52.5" thickBot="1">
      <c r="A43" s="181" t="s">
        <v>1037</v>
      </c>
      <c r="B43" s="183" t="s">
        <v>1038</v>
      </c>
    </row>
    <row r="44" spans="1:2" ht="27" thickBot="1">
      <c r="A44" s="181" t="s">
        <v>227</v>
      </c>
      <c r="B44" s="183" t="s">
        <v>1039</v>
      </c>
    </row>
    <row r="45" spans="1:2" ht="27" thickBot="1">
      <c r="A45" s="181" t="s">
        <v>903</v>
      </c>
      <c r="B45" s="183" t="s">
        <v>1039</v>
      </c>
    </row>
    <row r="46" spans="1:2" ht="39.75" thickBot="1">
      <c r="A46" s="181" t="s">
        <v>904</v>
      </c>
      <c r="B46" s="183" t="s">
        <v>1040</v>
      </c>
    </row>
    <row r="47" spans="1:2" ht="39.75" thickBot="1">
      <c r="A47" s="181" t="s">
        <v>905</v>
      </c>
      <c r="B47" s="183" t="s">
        <v>1041</v>
      </c>
    </row>
    <row r="48" spans="1:2" ht="39.75" thickBot="1">
      <c r="A48" s="181" t="s">
        <v>906</v>
      </c>
      <c r="B48" s="183" t="s">
        <v>1042</v>
      </c>
    </row>
    <row r="49" spans="1:2" ht="27" thickBot="1">
      <c r="A49" s="181" t="s">
        <v>1043</v>
      </c>
      <c r="B49" s="183">
        <v>367.4</v>
      </c>
    </row>
    <row r="50" spans="1:2" ht="27" thickBot="1">
      <c r="A50" s="181" t="s">
        <v>908</v>
      </c>
      <c r="B50" s="183" t="s">
        <v>1044</v>
      </c>
    </row>
    <row r="51" spans="1:2" ht="15.75" thickBot="1">
      <c r="A51" s="181" t="s">
        <v>233</v>
      </c>
      <c r="B51" s="183">
        <v>808.5</v>
      </c>
    </row>
    <row r="52" spans="1:2" ht="15.75" thickBot="1">
      <c r="A52" s="181" t="s">
        <v>909</v>
      </c>
      <c r="B52" s="183">
        <v>674.3</v>
      </c>
    </row>
    <row r="53" spans="1:2" ht="15.75" thickBot="1">
      <c r="A53" s="181" t="s">
        <v>261</v>
      </c>
      <c r="B53" s="183">
        <v>699.05</v>
      </c>
    </row>
    <row r="54" spans="1:2" ht="39.75" thickBot="1">
      <c r="A54" s="181" t="s">
        <v>910</v>
      </c>
      <c r="B54" s="183">
        <v>371.8</v>
      </c>
    </row>
    <row r="55" spans="1:2" ht="15.75" thickBot="1">
      <c r="A55" s="181" t="s">
        <v>190</v>
      </c>
      <c r="B55" s="183">
        <v>803.55</v>
      </c>
    </row>
    <row r="56" spans="1:2" ht="27" thickBot="1">
      <c r="A56" s="181" t="s">
        <v>147</v>
      </c>
      <c r="B56" s="183">
        <v>803.55</v>
      </c>
    </row>
    <row r="57" spans="1:2" ht="15.75" thickBot="1">
      <c r="A57" s="181" t="s">
        <v>911</v>
      </c>
      <c r="B57" s="183">
        <v>543.95000000000005</v>
      </c>
    </row>
    <row r="58" spans="1:2" ht="27" thickBot="1">
      <c r="A58" s="181" t="s">
        <v>912</v>
      </c>
      <c r="B58" s="183">
        <v>205.7</v>
      </c>
    </row>
    <row r="59" spans="1:2" ht="27" thickBot="1">
      <c r="A59" s="181" t="s">
        <v>913</v>
      </c>
      <c r="B59" s="183" t="s">
        <v>1045</v>
      </c>
    </row>
    <row r="60" spans="1:2" ht="27" thickBot="1">
      <c r="A60" s="181" t="s">
        <v>269</v>
      </c>
      <c r="B60" s="183" t="s">
        <v>1046</v>
      </c>
    </row>
    <row r="61" spans="1:2" ht="39.75" thickBot="1">
      <c r="A61" s="181" t="s">
        <v>915</v>
      </c>
      <c r="B61" s="183" t="s">
        <v>1047</v>
      </c>
    </row>
    <row r="62" spans="1:2" ht="39.75" thickBot="1">
      <c r="A62" s="181" t="s">
        <v>916</v>
      </c>
      <c r="B62" s="183" t="s">
        <v>1048</v>
      </c>
    </row>
    <row r="63" spans="1:2" ht="27" thickBot="1">
      <c r="A63" s="181" t="s">
        <v>1049</v>
      </c>
      <c r="B63" s="183">
        <v>211.2</v>
      </c>
    </row>
    <row r="64" spans="1:2" ht="78" thickBot="1">
      <c r="A64" s="181" t="s">
        <v>1050</v>
      </c>
      <c r="B64" s="183">
        <v>729.85</v>
      </c>
    </row>
    <row r="65" spans="1:2" ht="27" thickBot="1">
      <c r="A65" s="181" t="s">
        <v>247</v>
      </c>
      <c r="B65" s="183" t="s">
        <v>1051</v>
      </c>
    </row>
    <row r="66" spans="1:2" ht="39.75" thickBot="1">
      <c r="A66" s="181" t="s">
        <v>154</v>
      </c>
      <c r="B66" s="183" t="s">
        <v>1052</v>
      </c>
    </row>
    <row r="67" spans="1:2" ht="39.75" thickBot="1">
      <c r="A67" s="181" t="s">
        <v>155</v>
      </c>
      <c r="B67" s="183" t="s">
        <v>1053</v>
      </c>
    </row>
    <row r="68" spans="1:2" ht="15.75" thickBot="1">
      <c r="A68" s="181" t="s">
        <v>163</v>
      </c>
      <c r="B68" s="183">
        <v>693</v>
      </c>
    </row>
    <row r="69" spans="1:2" ht="27" thickBot="1">
      <c r="A69" s="181" t="s">
        <v>159</v>
      </c>
      <c r="B69" s="183">
        <v>702.9</v>
      </c>
    </row>
    <row r="70" spans="1:2" ht="39.75" thickBot="1">
      <c r="A70" s="181" t="s">
        <v>198</v>
      </c>
      <c r="B70" s="183">
        <v>199.65</v>
      </c>
    </row>
    <row r="71" spans="1:2" ht="27" thickBot="1">
      <c r="A71" s="181" t="s">
        <v>1054</v>
      </c>
      <c r="B71" s="183" t="s">
        <v>1055</v>
      </c>
    </row>
    <row r="72" spans="1:2" ht="52.5" thickBot="1">
      <c r="A72" s="181" t="s">
        <v>264</v>
      </c>
      <c r="B72" s="183" t="s">
        <v>1056</v>
      </c>
    </row>
    <row r="73" spans="1:2" ht="15.75" thickBot="1">
      <c r="A73" s="181" t="s">
        <v>243</v>
      </c>
      <c r="B73" s="183">
        <v>986.15</v>
      </c>
    </row>
    <row r="74" spans="1:2" ht="27" thickBot="1">
      <c r="A74" s="181" t="s">
        <v>918</v>
      </c>
      <c r="B74" s="183" t="s">
        <v>1057</v>
      </c>
    </row>
    <row r="75" spans="1:2" ht="15.75" thickBot="1">
      <c r="A75" s="181" t="s">
        <v>239</v>
      </c>
      <c r="B75" s="183">
        <v>976.25</v>
      </c>
    </row>
    <row r="76" spans="1:2" ht="27" thickBot="1">
      <c r="A76" s="181" t="s">
        <v>240</v>
      </c>
      <c r="B76" s="183" t="s">
        <v>1058</v>
      </c>
    </row>
    <row r="77" spans="1:2" ht="15.75" thickBot="1">
      <c r="A77" s="181" t="s">
        <v>201</v>
      </c>
      <c r="B77" s="183">
        <v>694.1</v>
      </c>
    </row>
    <row r="78" spans="1:2" ht="39.75" thickBot="1">
      <c r="A78" s="181" t="s">
        <v>202</v>
      </c>
      <c r="B78" s="183">
        <v>341</v>
      </c>
    </row>
    <row r="79" spans="1:2" ht="27" thickBot="1">
      <c r="A79" s="181" t="s">
        <v>272</v>
      </c>
      <c r="B79" s="183" t="s">
        <v>1059</v>
      </c>
    </row>
    <row r="80" spans="1:2" ht="27" thickBot="1">
      <c r="A80" s="181" t="s">
        <v>919</v>
      </c>
      <c r="B80" s="183" t="s">
        <v>1060</v>
      </c>
    </row>
    <row r="81" spans="1:2" ht="52.5" thickBot="1">
      <c r="A81" s="181" t="s">
        <v>920</v>
      </c>
      <c r="B81" s="183">
        <v>207.35</v>
      </c>
    </row>
    <row r="82" spans="1:2" ht="27" thickBot="1">
      <c r="A82" s="181" t="s">
        <v>921</v>
      </c>
      <c r="B82" s="183" t="s">
        <v>1061</v>
      </c>
    </row>
    <row r="83" spans="1:2" ht="27" thickBot="1">
      <c r="A83" s="181" t="s">
        <v>1062</v>
      </c>
      <c r="B83" s="183" t="s">
        <v>1063</v>
      </c>
    </row>
    <row r="84" spans="1:2" ht="15.75" thickBot="1">
      <c r="A84" s="181" t="s">
        <v>1064</v>
      </c>
      <c r="B84" s="183">
        <v>394.9</v>
      </c>
    </row>
    <row r="85" spans="1:2" ht="27" thickBot="1">
      <c r="A85" s="181" t="s">
        <v>1065</v>
      </c>
      <c r="B85" s="183" t="s">
        <v>1066</v>
      </c>
    </row>
    <row r="86" spans="1:2" ht="27" thickBot="1">
      <c r="A86" s="181" t="s">
        <v>1067</v>
      </c>
      <c r="B86" s="183">
        <v>436.7</v>
      </c>
    </row>
    <row r="87" spans="1:2" ht="27" thickBot="1">
      <c r="A87" s="181" t="s">
        <v>927</v>
      </c>
      <c r="B87" s="183">
        <v>829.4</v>
      </c>
    </row>
    <row r="88" spans="1:2" ht="52.5" thickBot="1">
      <c r="A88" s="181" t="s">
        <v>210</v>
      </c>
      <c r="B88" s="183" t="s">
        <v>1068</v>
      </c>
    </row>
    <row r="89" spans="1:2" ht="52.5" thickBot="1">
      <c r="A89" s="181" t="s">
        <v>1069</v>
      </c>
      <c r="B89" s="183" t="s">
        <v>1070</v>
      </c>
    </row>
    <row r="90" spans="1:2" ht="52.5" thickBot="1">
      <c r="A90" s="181" t="s">
        <v>1071</v>
      </c>
      <c r="B90" s="183" t="s">
        <v>1070</v>
      </c>
    </row>
    <row r="91" spans="1:2" ht="65.25" thickBot="1">
      <c r="A91" s="181" t="s">
        <v>930</v>
      </c>
      <c r="B91" s="183" t="s">
        <v>1072</v>
      </c>
    </row>
    <row r="92" spans="1:2" ht="90.75" thickBot="1">
      <c r="A92" s="181" t="s">
        <v>1073</v>
      </c>
      <c r="B92" s="183" t="s">
        <v>1074</v>
      </c>
    </row>
    <row r="93" spans="1:2" ht="90.75" thickBot="1">
      <c r="A93" s="181" t="s">
        <v>1075</v>
      </c>
      <c r="B93" s="183" t="s">
        <v>1076</v>
      </c>
    </row>
    <row r="94" spans="1:2" ht="90.75" thickBot="1">
      <c r="A94" s="181" t="s">
        <v>1077</v>
      </c>
      <c r="B94" s="183" t="s">
        <v>1078</v>
      </c>
    </row>
    <row r="95" spans="1:2" ht="65.25" thickBot="1">
      <c r="A95" s="181" t="s">
        <v>934</v>
      </c>
      <c r="B95" s="183" t="s">
        <v>1079</v>
      </c>
    </row>
    <row r="96" spans="1:2" ht="65.25" thickBot="1">
      <c r="A96" s="181" t="s">
        <v>290</v>
      </c>
      <c r="B96" s="183" t="s">
        <v>1080</v>
      </c>
    </row>
    <row r="97" spans="1:2" ht="52.5" thickBot="1">
      <c r="A97" s="181" t="s">
        <v>291</v>
      </c>
      <c r="B97" s="183" t="s">
        <v>1081</v>
      </c>
    </row>
    <row r="98" spans="1:2" ht="78" thickBot="1">
      <c r="A98" s="181" t="s">
        <v>935</v>
      </c>
      <c r="B98" s="183" t="s">
        <v>1082</v>
      </c>
    </row>
    <row r="99" spans="1:2" ht="65.25" thickBot="1">
      <c r="A99" s="181" t="s">
        <v>292</v>
      </c>
      <c r="B99" s="183" t="s">
        <v>1083</v>
      </c>
    </row>
    <row r="100" spans="1:2" ht="78" thickBot="1">
      <c r="A100" s="181" t="s">
        <v>936</v>
      </c>
      <c r="B100" s="183" t="s">
        <v>1084</v>
      </c>
    </row>
    <row r="101" spans="1:2" ht="52.5" thickBot="1">
      <c r="A101" s="181" t="s">
        <v>1085</v>
      </c>
      <c r="B101" s="183" t="s">
        <v>1086</v>
      </c>
    </row>
    <row r="102" spans="1:2" ht="27" thickBot="1">
      <c r="A102" s="181" t="s">
        <v>939</v>
      </c>
      <c r="B102" s="183" t="s">
        <v>1087</v>
      </c>
    </row>
    <row r="103" spans="1:2" ht="27" thickBot="1">
      <c r="A103" s="181" t="s">
        <v>1088</v>
      </c>
      <c r="B103" s="183" t="s">
        <v>1089</v>
      </c>
    </row>
    <row r="104" spans="1:2" ht="15.75" thickBot="1">
      <c r="A104" s="181" t="s">
        <v>1090</v>
      </c>
      <c r="B104" s="183">
        <v>498.3</v>
      </c>
    </row>
    <row r="105" spans="1:2" ht="27" thickBot="1">
      <c r="A105" s="181" t="s">
        <v>224</v>
      </c>
      <c r="B105" s="183" t="s">
        <v>1091</v>
      </c>
    </row>
    <row r="106" spans="1:2" ht="52.5" thickBot="1">
      <c r="A106" s="181" t="s">
        <v>1092</v>
      </c>
      <c r="B106" s="183" t="s">
        <v>1093</v>
      </c>
    </row>
    <row r="107" spans="1:2" ht="27" thickBot="1">
      <c r="A107" s="181" t="s">
        <v>251</v>
      </c>
      <c r="B107" s="183">
        <v>849.2</v>
      </c>
    </row>
    <row r="108" spans="1:2" ht="27" thickBot="1">
      <c r="A108" s="181" t="s">
        <v>225</v>
      </c>
      <c r="B108" s="183" t="s">
        <v>1094</v>
      </c>
    </row>
    <row r="109" spans="1:2" ht="27" thickBot="1">
      <c r="A109" s="181" t="s">
        <v>226</v>
      </c>
      <c r="B109" s="183" t="s">
        <v>1094</v>
      </c>
    </row>
    <row r="110" spans="1:2" ht="27" thickBot="1">
      <c r="A110" s="181" t="s">
        <v>946</v>
      </c>
      <c r="B110" s="183" t="s">
        <v>1095</v>
      </c>
    </row>
    <row r="111" spans="1:2" ht="39.75" thickBot="1">
      <c r="A111" s="181" t="s">
        <v>947</v>
      </c>
      <c r="B111" s="183" t="s">
        <v>1096</v>
      </c>
    </row>
    <row r="112" spans="1:2" ht="15.75" thickBot="1">
      <c r="A112" s="181" t="s">
        <v>948</v>
      </c>
      <c r="B112" s="183">
        <v>311.85000000000002</v>
      </c>
    </row>
    <row r="113" spans="1:2" ht="27" thickBot="1">
      <c r="A113" s="181" t="s">
        <v>949</v>
      </c>
      <c r="B113" s="183">
        <v>390.5</v>
      </c>
    </row>
    <row r="114" spans="1:2" ht="39.75" thickBot="1">
      <c r="A114" s="181" t="s">
        <v>950</v>
      </c>
      <c r="B114" s="183" t="s">
        <v>1059</v>
      </c>
    </row>
    <row r="115" spans="1:2" ht="27" thickBot="1">
      <c r="A115" s="181" t="s">
        <v>951</v>
      </c>
      <c r="B115" s="183" t="s">
        <v>1059</v>
      </c>
    </row>
    <row r="116" spans="1:2" ht="39.75" thickBot="1">
      <c r="A116" s="181" t="s">
        <v>952</v>
      </c>
      <c r="B116" s="183" t="s">
        <v>1059</v>
      </c>
    </row>
    <row r="117" spans="1:2" ht="39.75" thickBot="1">
      <c r="A117" s="181" t="s">
        <v>953</v>
      </c>
      <c r="B117" s="183" t="s">
        <v>1059</v>
      </c>
    </row>
    <row r="118" spans="1:2" ht="27" thickBot="1">
      <c r="A118" s="181" t="s">
        <v>954</v>
      </c>
      <c r="B118" s="183" t="s">
        <v>1097</v>
      </c>
    </row>
    <row r="119" spans="1:2" ht="27" thickBot="1">
      <c r="A119" s="181" t="s">
        <v>955</v>
      </c>
      <c r="B119" s="183" t="s">
        <v>1059</v>
      </c>
    </row>
    <row r="120" spans="1:2" ht="39.75" thickBot="1">
      <c r="A120" s="181" t="s">
        <v>956</v>
      </c>
      <c r="B120" s="183" t="s">
        <v>1059</v>
      </c>
    </row>
    <row r="121" spans="1:2" ht="27" thickBot="1">
      <c r="A121" s="181" t="s">
        <v>957</v>
      </c>
      <c r="B121" s="183" t="s">
        <v>1059</v>
      </c>
    </row>
    <row r="122" spans="1:2" ht="27" thickBot="1">
      <c r="A122" s="181" t="s">
        <v>958</v>
      </c>
      <c r="B122" s="183" t="s">
        <v>1098</v>
      </c>
    </row>
    <row r="123" spans="1:2" ht="27" thickBot="1">
      <c r="A123" s="181" t="s">
        <v>959</v>
      </c>
      <c r="B123" s="183" t="s">
        <v>1059</v>
      </c>
    </row>
    <row r="124" spans="1:2" ht="39.75" thickBot="1">
      <c r="A124" s="181" t="s">
        <v>960</v>
      </c>
      <c r="B124" s="183" t="s">
        <v>1059</v>
      </c>
    </row>
    <row r="125" spans="1:2" ht="78" thickBot="1">
      <c r="A125" s="181" t="s">
        <v>283</v>
      </c>
      <c r="B125" s="183" t="s">
        <v>1059</v>
      </c>
    </row>
    <row r="126" spans="1:2" ht="52.5" thickBot="1">
      <c r="A126" s="181" t="s">
        <v>961</v>
      </c>
      <c r="B126" s="183" t="s">
        <v>1059</v>
      </c>
    </row>
    <row r="127" spans="1:2" ht="27" thickBot="1">
      <c r="A127" s="181" t="s">
        <v>962</v>
      </c>
      <c r="B127" s="183" t="s">
        <v>1059</v>
      </c>
    </row>
    <row r="128" spans="1:2" ht="52.5" thickBot="1">
      <c r="A128" s="181" t="s">
        <v>963</v>
      </c>
      <c r="B128" s="183" t="s">
        <v>1059</v>
      </c>
    </row>
    <row r="129" spans="1:2" ht="27" thickBot="1">
      <c r="A129" s="181" t="s">
        <v>964</v>
      </c>
      <c r="B129" s="183" t="s">
        <v>1097</v>
      </c>
    </row>
    <row r="130" spans="1:2" ht="15.75" thickBot="1">
      <c r="A130" s="181" t="s">
        <v>192</v>
      </c>
      <c r="B130" s="183">
        <v>272.8</v>
      </c>
    </row>
    <row r="131" spans="1:2" ht="27" thickBot="1">
      <c r="A131" s="181" t="s">
        <v>1099</v>
      </c>
      <c r="B131" s="183" t="s">
        <v>1100</v>
      </c>
    </row>
    <row r="132" spans="1:2" ht="15.75" thickBot="1">
      <c r="A132" s="181" t="s">
        <v>242</v>
      </c>
      <c r="B132" s="183">
        <v>986.15</v>
      </c>
    </row>
    <row r="133" spans="1:2" ht="15.75" thickBot="1">
      <c r="A133" s="181" t="s">
        <v>966</v>
      </c>
      <c r="B133" s="183">
        <v>532.4</v>
      </c>
    </row>
    <row r="134" spans="1:2" ht="27" thickBot="1">
      <c r="A134" s="181" t="s">
        <v>1101</v>
      </c>
      <c r="B134" s="183">
        <v>584.65</v>
      </c>
    </row>
    <row r="135" spans="1:2" ht="27" thickBot="1">
      <c r="A135" s="181" t="s">
        <v>1102</v>
      </c>
      <c r="B135" s="183">
        <v>942.7</v>
      </c>
    </row>
    <row r="136" spans="1:2" ht="27" thickBot="1">
      <c r="A136" s="181" t="s">
        <v>199</v>
      </c>
      <c r="B136" s="183">
        <v>221.1</v>
      </c>
    </row>
    <row r="137" spans="1:2" ht="39.75" thickBot="1">
      <c r="A137" s="181" t="s">
        <v>968</v>
      </c>
      <c r="B137" s="183" t="s">
        <v>1103</v>
      </c>
    </row>
    <row r="138" spans="1:2" ht="39.75" thickBot="1">
      <c r="A138" s="181" t="s">
        <v>254</v>
      </c>
      <c r="B138" s="183">
        <v>480.7</v>
      </c>
    </row>
    <row r="139" spans="1:2" ht="39.75" thickBot="1">
      <c r="A139" s="181" t="s">
        <v>1104</v>
      </c>
      <c r="B139" s="183">
        <v>376.75</v>
      </c>
    </row>
    <row r="140" spans="1:2" ht="39.75" thickBot="1">
      <c r="A140" s="181" t="s">
        <v>969</v>
      </c>
      <c r="B140" s="183">
        <v>660.55</v>
      </c>
    </row>
    <row r="141" spans="1:2" ht="39.75" thickBot="1">
      <c r="A141" s="181" t="s">
        <v>970</v>
      </c>
      <c r="B141" s="183">
        <v>311.85000000000002</v>
      </c>
    </row>
    <row r="142" spans="1:2" ht="39.75" thickBot="1">
      <c r="A142" s="181" t="s">
        <v>1105</v>
      </c>
      <c r="B142" s="183">
        <v>660.55</v>
      </c>
    </row>
    <row r="143" spans="1:2" ht="39.75" thickBot="1">
      <c r="A143" s="181" t="s">
        <v>971</v>
      </c>
      <c r="B143" s="183">
        <v>311.85000000000002</v>
      </c>
    </row>
    <row r="144" spans="1:2" ht="27" thickBot="1">
      <c r="A144" s="181" t="s">
        <v>972</v>
      </c>
      <c r="B144" s="183">
        <v>660.55</v>
      </c>
    </row>
    <row r="145" spans="1:2" ht="27" thickBot="1">
      <c r="A145" s="181" t="s">
        <v>973</v>
      </c>
      <c r="B145" s="183" t="s">
        <v>1106</v>
      </c>
    </row>
    <row r="146" spans="1:2" ht="39.75" thickBot="1">
      <c r="A146" s="181" t="s">
        <v>974</v>
      </c>
      <c r="B146" s="183">
        <v>396</v>
      </c>
    </row>
    <row r="147" spans="1:2" ht="78" thickBot="1">
      <c r="A147" s="181" t="s">
        <v>975</v>
      </c>
      <c r="B147" s="183" t="s">
        <v>1107</v>
      </c>
    </row>
    <row r="148" spans="1:2" ht="78" thickBot="1">
      <c r="A148" s="181" t="s">
        <v>238</v>
      </c>
      <c r="B148" s="183" t="s">
        <v>1108</v>
      </c>
    </row>
    <row r="149" spans="1:2" ht="52.5" thickBot="1">
      <c r="A149" s="181" t="s">
        <v>978</v>
      </c>
      <c r="B149" s="183" t="s">
        <v>1108</v>
      </c>
    </row>
    <row r="150" spans="1:2" ht="27" thickBot="1">
      <c r="A150" s="181" t="s">
        <v>979</v>
      </c>
      <c r="B150" s="183" t="s">
        <v>1109</v>
      </c>
    </row>
    <row r="151" spans="1:2" ht="27" thickBot="1">
      <c r="A151" s="181" t="s">
        <v>1110</v>
      </c>
      <c r="B151" s="183">
        <v>407.55</v>
      </c>
    </row>
    <row r="152" spans="1:2" ht="39.75" thickBot="1">
      <c r="A152" s="181" t="s">
        <v>980</v>
      </c>
      <c r="B152" s="183">
        <v>367.4</v>
      </c>
    </row>
    <row r="153" spans="1:2" ht="39.75" thickBot="1">
      <c r="A153" s="181" t="s">
        <v>981</v>
      </c>
      <c r="B153" s="183">
        <v>302.5</v>
      </c>
    </row>
    <row r="154" spans="1:2" ht="27" thickBot="1">
      <c r="A154" s="181" t="s">
        <v>982</v>
      </c>
      <c r="B154" s="183" t="s">
        <v>1111</v>
      </c>
    </row>
    <row r="155" spans="1:2" ht="52.5" thickBot="1">
      <c r="A155" s="181" t="s">
        <v>983</v>
      </c>
      <c r="B155" s="183">
        <v>166.1</v>
      </c>
    </row>
    <row r="156" spans="1:2" ht="27" thickBot="1">
      <c r="A156" s="181" t="s">
        <v>270</v>
      </c>
      <c r="B156" s="183" t="s">
        <v>1112</v>
      </c>
    </row>
    <row r="157" spans="1:2" ht="52.5" thickBot="1">
      <c r="A157" s="181" t="s">
        <v>984</v>
      </c>
      <c r="B157" s="183">
        <v>184.8</v>
      </c>
    </row>
    <row r="158" spans="1:2" ht="39.75" thickBot="1">
      <c r="A158" s="181" t="s">
        <v>985</v>
      </c>
      <c r="B158" s="183" t="s">
        <v>1113</v>
      </c>
    </row>
    <row r="159" spans="1:2" ht="27" thickBot="1">
      <c r="A159" s="181" t="s">
        <v>246</v>
      </c>
      <c r="B159" s="183" t="s">
        <v>1114</v>
      </c>
    </row>
    <row r="160" spans="1:2" ht="27" thickBot="1">
      <c r="A160" s="181" t="s">
        <v>244</v>
      </c>
      <c r="B160" s="183">
        <v>964.7</v>
      </c>
    </row>
    <row r="161" spans="1:2" ht="39.75" thickBot="1">
      <c r="A161" s="181" t="s">
        <v>986</v>
      </c>
      <c r="B161" s="183">
        <v>232.65</v>
      </c>
    </row>
    <row r="162" spans="1:2" ht="52.5" thickBot="1">
      <c r="A162" s="181" t="s">
        <v>987</v>
      </c>
      <c r="B162" s="183">
        <v>536.25</v>
      </c>
    </row>
    <row r="163" spans="1:2" ht="27" thickBot="1">
      <c r="A163" s="181" t="s">
        <v>988</v>
      </c>
      <c r="B163" s="183">
        <v>122.1</v>
      </c>
    </row>
    <row r="164" spans="1:2" ht="39.75" thickBot="1">
      <c r="A164" s="181" t="s">
        <v>989</v>
      </c>
      <c r="B164" s="183">
        <v>173.8</v>
      </c>
    </row>
    <row r="165" spans="1:2" ht="52.5" thickBot="1">
      <c r="A165" s="181" t="s">
        <v>990</v>
      </c>
      <c r="B165" s="183">
        <v>628.1</v>
      </c>
    </row>
    <row r="166" spans="1:2" ht="39.75" thickBot="1">
      <c r="A166" s="181" t="s">
        <v>263</v>
      </c>
      <c r="B166" s="183" t="s">
        <v>1115</v>
      </c>
    </row>
    <row r="167" spans="1:2" ht="27" thickBot="1">
      <c r="A167" s="181" t="s">
        <v>991</v>
      </c>
      <c r="B167" s="183" t="s">
        <v>1116</v>
      </c>
    </row>
    <row r="168" spans="1:2" ht="65.25" thickBot="1">
      <c r="A168" s="181" t="s">
        <v>206</v>
      </c>
      <c r="B168" s="183">
        <v>533.5</v>
      </c>
    </row>
    <row r="169" spans="1:2" ht="27" thickBot="1">
      <c r="A169" s="181" t="s">
        <v>992</v>
      </c>
      <c r="B169" s="183">
        <v>776.05</v>
      </c>
    </row>
    <row r="170" spans="1:2" ht="27" thickBot="1">
      <c r="A170" s="181" t="s">
        <v>216</v>
      </c>
      <c r="B170" s="183">
        <v>887.15</v>
      </c>
    </row>
    <row r="171" spans="1:2" ht="27" thickBot="1">
      <c r="A171" s="181" t="s">
        <v>217</v>
      </c>
      <c r="B171" s="183" t="s">
        <v>1117</v>
      </c>
    </row>
    <row r="172" spans="1:2" ht="27" thickBot="1">
      <c r="A172" s="181" t="s">
        <v>268</v>
      </c>
      <c r="B172" s="183" t="s">
        <v>1118</v>
      </c>
    </row>
    <row r="173" spans="1:2" ht="52.5" thickBot="1">
      <c r="A173" s="181" t="s">
        <v>996</v>
      </c>
      <c r="B173" s="183">
        <v>924.55</v>
      </c>
    </row>
    <row r="174" spans="1:2" ht="39.75" thickBot="1">
      <c r="A174" s="181" t="s">
        <v>293</v>
      </c>
      <c r="B174" s="183">
        <v>831.6</v>
      </c>
    </row>
    <row r="175" spans="1:2" ht="39.75" thickBot="1">
      <c r="A175" s="181" t="s">
        <v>997</v>
      </c>
      <c r="B175" s="183">
        <v>831.6</v>
      </c>
    </row>
    <row r="176" spans="1:2" ht="27" thickBot="1">
      <c r="A176" s="181" t="s">
        <v>998</v>
      </c>
      <c r="B176" s="183">
        <v>831.6</v>
      </c>
    </row>
    <row r="177" spans="1:2" ht="39.75" thickBot="1">
      <c r="A177" s="181" t="s">
        <v>999</v>
      </c>
      <c r="B177" s="183">
        <v>776.05</v>
      </c>
    </row>
    <row r="178" spans="1:2" ht="27" thickBot="1">
      <c r="A178" s="181" t="s">
        <v>1001</v>
      </c>
      <c r="B178" s="183" t="s">
        <v>1074</v>
      </c>
    </row>
    <row r="179" spans="1:2" ht="27" thickBot="1">
      <c r="A179" s="181" t="s">
        <v>235</v>
      </c>
      <c r="B179" s="183" t="s">
        <v>1119</v>
      </c>
    </row>
    <row r="180" spans="1:2" ht="27" thickBot="1">
      <c r="A180" s="181" t="s">
        <v>236</v>
      </c>
      <c r="B180" s="183" t="s">
        <v>1119</v>
      </c>
    </row>
    <row r="181" spans="1:2" ht="27" thickBot="1">
      <c r="A181" s="181" t="s">
        <v>245</v>
      </c>
      <c r="B181" s="183">
        <v>946</v>
      </c>
    </row>
    <row r="182" spans="1:2" ht="15.75" thickBot="1">
      <c r="A182" s="181" t="s">
        <v>161</v>
      </c>
      <c r="B182" s="183">
        <v>629.75</v>
      </c>
    </row>
    <row r="183" spans="1:2" ht="27" thickBot="1">
      <c r="A183" s="181" t="s">
        <v>1002</v>
      </c>
      <c r="B183" s="183">
        <v>256.3</v>
      </c>
    </row>
    <row r="184" spans="1:2" ht="39.75" thickBot="1">
      <c r="A184" s="181" t="s">
        <v>214</v>
      </c>
      <c r="B184" s="183">
        <v>829.4</v>
      </c>
    </row>
    <row r="185" spans="1:2" ht="65.25" thickBot="1">
      <c r="A185" s="181" t="s">
        <v>1004</v>
      </c>
      <c r="B185" s="183" t="s">
        <v>1120</v>
      </c>
    </row>
    <row r="186" spans="1:2" ht="39.75" thickBot="1">
      <c r="A186" s="181" t="s">
        <v>215</v>
      </c>
      <c r="B186" s="183">
        <v>829.4</v>
      </c>
    </row>
    <row r="187" spans="1:2" ht="15.75" thickBot="1">
      <c r="A187" s="181" t="s">
        <v>208</v>
      </c>
      <c r="B187" s="183">
        <v>305.25</v>
      </c>
    </row>
    <row r="188" spans="1:2" ht="39.75" thickBot="1">
      <c r="A188" s="181" t="s">
        <v>1121</v>
      </c>
      <c r="B188" s="183">
        <v>358.05</v>
      </c>
    </row>
    <row r="189" spans="1:2" ht="27" thickBot="1">
      <c r="A189" s="181" t="s">
        <v>164</v>
      </c>
      <c r="B189" s="183">
        <v>773.3</v>
      </c>
    </row>
    <row r="190" spans="1:2" ht="27" thickBot="1">
      <c r="A190" s="181" t="s">
        <v>193</v>
      </c>
      <c r="B190" s="183" t="s">
        <v>1122</v>
      </c>
    </row>
    <row r="191" spans="1:2" ht="15.75" thickBot="1">
      <c r="A191" s="181" t="s">
        <v>241</v>
      </c>
      <c r="B191" s="183">
        <v>699.6</v>
      </c>
    </row>
    <row r="192" spans="1:2" ht="39.75" thickBot="1">
      <c r="A192" s="181" t="s">
        <v>1007</v>
      </c>
      <c r="B192" s="183">
        <v>378.4</v>
      </c>
    </row>
    <row r="193" spans="1:2" ht="39.75" thickBot="1">
      <c r="A193" s="181" t="s">
        <v>1008</v>
      </c>
      <c r="B193" s="183">
        <v>872.85</v>
      </c>
    </row>
    <row r="194" spans="1:2" ht="15.75" thickBot="1">
      <c r="A194" s="181" t="s">
        <v>207</v>
      </c>
      <c r="B194" s="183">
        <v>212.3</v>
      </c>
    </row>
    <row r="195" spans="1:2" ht="39.75" thickBot="1">
      <c r="A195" s="181" t="s">
        <v>1009</v>
      </c>
      <c r="B195" s="183">
        <v>281.60000000000002</v>
      </c>
    </row>
    <row r="196" spans="1:2" ht="39.75" thickBot="1">
      <c r="A196" s="181" t="s">
        <v>1010</v>
      </c>
      <c r="B196" s="183">
        <v>238.15</v>
      </c>
    </row>
    <row r="197" spans="1:2" ht="27" thickBot="1">
      <c r="A197" s="181" t="s">
        <v>1123</v>
      </c>
      <c r="B197" s="183" t="s">
        <v>1035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A18B8-0084-470B-8519-AD14A72D3206}">
  <sheetPr codeName="Sheet8">
    <pageSetUpPr fitToPage="1"/>
  </sheetPr>
  <dimension ref="A1:I76"/>
  <sheetViews>
    <sheetView showGridLines="0" view="pageLayout" topLeftCell="A13" zoomScale="85" zoomScaleNormal="89" zoomScalePageLayoutView="85" workbookViewId="0">
      <selection activeCell="B71" sqref="B71"/>
    </sheetView>
  </sheetViews>
  <sheetFormatPr defaultColWidth="3.140625" defaultRowHeight="15"/>
  <cols>
    <col min="1" max="1" width="6.42578125" style="15" customWidth="1"/>
    <col min="2" max="2" width="45" customWidth="1"/>
    <col min="3" max="3" width="16.28515625" customWidth="1"/>
    <col min="4" max="8" width="16.28515625" style="1" customWidth="1"/>
    <col min="9" max="9" width="16.28515625" customWidth="1"/>
    <col min="10" max="10" width="13.42578125" bestFit="1" customWidth="1"/>
  </cols>
  <sheetData>
    <row r="1" spans="1:9" ht="18.75">
      <c r="A1" s="50" t="s">
        <v>783</v>
      </c>
      <c r="C1" s="25"/>
      <c r="D1" s="10"/>
      <c r="E1" s="10"/>
      <c r="F1" s="10"/>
      <c r="G1" s="10"/>
    </row>
    <row r="2" spans="1:9" ht="18.75">
      <c r="A2" s="50" t="s">
        <v>301</v>
      </c>
      <c r="C2" s="25"/>
      <c r="D2" s="10"/>
      <c r="E2" s="10"/>
      <c r="F2" s="10"/>
      <c r="G2" s="10"/>
    </row>
    <row r="3" spans="1:9" ht="15.75">
      <c r="B3" s="25"/>
      <c r="C3" s="25"/>
      <c r="D3" s="10"/>
      <c r="E3" s="10"/>
      <c r="F3" s="10"/>
      <c r="G3" s="10"/>
    </row>
    <row r="4" spans="1:9" ht="15" customHeight="1" thickBot="1">
      <c r="A4" s="348" t="s">
        <v>784</v>
      </c>
      <c r="B4" s="348"/>
      <c r="C4" s="9"/>
      <c r="D4" s="57"/>
      <c r="E4" s="57"/>
      <c r="F4" s="57"/>
      <c r="G4" s="57"/>
    </row>
    <row r="5" spans="1:9" ht="45.75" thickBot="1">
      <c r="A5" s="8" t="s">
        <v>15</v>
      </c>
      <c r="B5" s="351" t="s">
        <v>379</v>
      </c>
      <c r="C5" s="352"/>
      <c r="D5" s="13" t="s">
        <v>414</v>
      </c>
      <c r="E5" s="13" t="s">
        <v>21</v>
      </c>
      <c r="F5" s="13" t="s">
        <v>2309</v>
      </c>
      <c r="G5" s="13" t="s">
        <v>1254</v>
      </c>
      <c r="H5" s="13" t="s">
        <v>498</v>
      </c>
      <c r="I5" s="202"/>
    </row>
    <row r="6" spans="1:9" ht="15.75" customHeight="1">
      <c r="A6" s="26">
        <v>1</v>
      </c>
      <c r="B6" s="353" t="s">
        <v>303</v>
      </c>
      <c r="C6" s="353"/>
      <c r="D6" s="6">
        <v>2345000</v>
      </c>
      <c r="E6" s="6">
        <v>2580000</v>
      </c>
      <c r="F6" s="6">
        <v>2931000</v>
      </c>
      <c r="G6" s="6">
        <v>3518000</v>
      </c>
      <c r="H6" s="192">
        <v>4690000</v>
      </c>
      <c r="I6" s="1"/>
    </row>
    <row r="7" spans="1:9">
      <c r="A7" s="27">
        <v>2</v>
      </c>
      <c r="B7" s="354" t="s">
        <v>305</v>
      </c>
      <c r="C7" s="354"/>
      <c r="D7" s="4">
        <v>3695000</v>
      </c>
      <c r="E7" s="6">
        <v>4065000</v>
      </c>
      <c r="F7" s="6">
        <v>4619000</v>
      </c>
      <c r="G7" s="6">
        <v>5543000</v>
      </c>
      <c r="H7" s="192">
        <v>7390000</v>
      </c>
      <c r="I7" s="1"/>
    </row>
    <row r="8" spans="1:9">
      <c r="A8" s="27">
        <v>3</v>
      </c>
      <c r="B8" s="354" t="s">
        <v>302</v>
      </c>
      <c r="C8" s="354"/>
      <c r="D8" s="4">
        <v>4548000</v>
      </c>
      <c r="E8" s="6">
        <v>5003000</v>
      </c>
      <c r="F8" s="6">
        <v>5685000</v>
      </c>
      <c r="G8" s="6">
        <v>6822000</v>
      </c>
      <c r="H8" s="192">
        <v>9096000</v>
      </c>
      <c r="I8" s="1"/>
    </row>
    <row r="9" spans="1:9">
      <c r="A9" s="27">
        <v>4</v>
      </c>
      <c r="B9" s="354" t="s">
        <v>304</v>
      </c>
      <c r="C9" s="354"/>
      <c r="D9" s="4">
        <v>5684000</v>
      </c>
      <c r="E9" s="6">
        <v>6252000</v>
      </c>
      <c r="F9" s="6">
        <v>7104000</v>
      </c>
      <c r="G9" s="6">
        <v>8525000</v>
      </c>
      <c r="H9" s="192">
        <v>11367000</v>
      </c>
      <c r="I9" s="1"/>
    </row>
    <row r="10" spans="1:9">
      <c r="A10" s="189">
        <v>5</v>
      </c>
      <c r="B10" s="347" t="s">
        <v>306</v>
      </c>
      <c r="C10" s="347"/>
      <c r="D10" s="190">
        <v>1087000</v>
      </c>
      <c r="E10" s="190">
        <v>1087000</v>
      </c>
      <c r="F10" s="190">
        <v>1359000</v>
      </c>
      <c r="G10" s="190">
        <v>1631000</v>
      </c>
      <c r="H10" s="191">
        <v>2174000</v>
      </c>
      <c r="I10" s="1"/>
    </row>
    <row r="11" spans="1:9">
      <c r="A11" s="189">
        <v>6</v>
      </c>
      <c r="B11" s="193" t="s">
        <v>1140</v>
      </c>
      <c r="C11" s="194"/>
      <c r="D11" s="190">
        <v>5500000</v>
      </c>
      <c r="E11" s="190">
        <v>6050000</v>
      </c>
      <c r="F11" s="190">
        <v>6600000</v>
      </c>
      <c r="G11" s="190">
        <v>7150000</v>
      </c>
      <c r="H11" s="191">
        <v>7700000</v>
      </c>
      <c r="I11" s="1"/>
    </row>
    <row r="12" spans="1:9">
      <c r="A12" s="27">
        <v>7</v>
      </c>
      <c r="B12" s="355" t="s">
        <v>1138</v>
      </c>
      <c r="C12" s="356"/>
      <c r="D12" s="4">
        <v>2930000</v>
      </c>
      <c r="E12" s="4">
        <v>3223000</v>
      </c>
      <c r="F12" s="4">
        <v>3516000</v>
      </c>
      <c r="G12" s="4">
        <v>4248000</v>
      </c>
      <c r="H12" s="28">
        <v>4981000</v>
      </c>
      <c r="I12" s="1"/>
    </row>
    <row r="13" spans="1:9" ht="15.75" thickBot="1">
      <c r="A13" s="29">
        <v>8</v>
      </c>
      <c r="B13" s="357" t="s">
        <v>1139</v>
      </c>
      <c r="C13" s="358"/>
      <c r="D13" s="31">
        <v>2172000</v>
      </c>
      <c r="E13" s="31">
        <v>2389000</v>
      </c>
      <c r="F13" s="31">
        <v>2606000</v>
      </c>
      <c r="G13" s="31">
        <v>3149000</v>
      </c>
      <c r="H13" s="32">
        <v>3692000</v>
      </c>
      <c r="I13" s="1"/>
    </row>
    <row r="15" spans="1:9" ht="15.75">
      <c r="A15" s="349" t="s">
        <v>785</v>
      </c>
      <c r="B15" s="349"/>
      <c r="C15" s="349"/>
      <c r="D15" s="349"/>
      <c r="E15" s="349"/>
      <c r="F15" s="349"/>
      <c r="G15" s="349"/>
      <c r="H15" s="349"/>
    </row>
    <row r="16" spans="1:9" ht="16.149999999999999" customHeight="1" thickBot="1">
      <c r="A16" s="350" t="s">
        <v>786</v>
      </c>
      <c r="B16" s="350"/>
      <c r="C16" s="350"/>
      <c r="D16" s="350"/>
      <c r="E16" s="350"/>
      <c r="F16" s="350"/>
      <c r="G16" s="350"/>
      <c r="H16" s="350"/>
    </row>
    <row r="17" spans="1:8" ht="33" customHeight="1" thickBot="1">
      <c r="A17" s="8" t="s">
        <v>15</v>
      </c>
      <c r="B17" s="345" t="s">
        <v>62</v>
      </c>
      <c r="C17" s="346"/>
      <c r="D17" s="13" t="s">
        <v>414</v>
      </c>
      <c r="E17" s="13" t="s">
        <v>21</v>
      </c>
      <c r="F17" s="13" t="s">
        <v>2309</v>
      </c>
      <c r="G17" s="13" t="s">
        <v>1254</v>
      </c>
      <c r="H17" s="13" t="s">
        <v>498</v>
      </c>
    </row>
    <row r="18" spans="1:8">
      <c r="A18" s="26">
        <v>1</v>
      </c>
      <c r="B18" s="353" t="s">
        <v>307</v>
      </c>
      <c r="C18" s="353">
        <v>1252500</v>
      </c>
      <c r="D18" s="6">
        <f>ROUNDUP(1878750,-3)</f>
        <v>1879000</v>
      </c>
      <c r="E18" s="6">
        <v>2067000</v>
      </c>
      <c r="F18" s="6">
        <v>2255000</v>
      </c>
      <c r="G18" s="6">
        <v>2725000</v>
      </c>
      <c r="H18" s="6">
        <v>3194000</v>
      </c>
    </row>
    <row r="19" spans="1:8">
      <c r="A19" s="27">
        <v>2</v>
      </c>
      <c r="B19" s="354" t="s">
        <v>308</v>
      </c>
      <c r="C19" s="354">
        <v>2268750</v>
      </c>
      <c r="D19" s="4">
        <f>ROUNDUP(3403125,-3)</f>
        <v>3404000</v>
      </c>
      <c r="E19" s="6">
        <v>3744000</v>
      </c>
      <c r="F19" s="6">
        <v>4084000</v>
      </c>
      <c r="G19" s="6">
        <v>4935000</v>
      </c>
      <c r="H19" s="6">
        <v>5786000</v>
      </c>
    </row>
    <row r="20" spans="1:8">
      <c r="A20" s="27">
        <v>3</v>
      </c>
      <c r="B20" s="354" t="s">
        <v>309</v>
      </c>
      <c r="C20" s="354">
        <v>3173750</v>
      </c>
      <c r="D20" s="4">
        <f>ROUNDUP(4760625,-3)</f>
        <v>4761000</v>
      </c>
      <c r="E20" s="6">
        <v>5237000</v>
      </c>
      <c r="F20" s="6">
        <v>5713000</v>
      </c>
      <c r="G20" s="6">
        <v>6903000</v>
      </c>
      <c r="H20" s="6">
        <v>8094000</v>
      </c>
    </row>
    <row r="21" spans="1:8" ht="15.75" thickBot="1">
      <c r="A21" s="29">
        <v>4</v>
      </c>
      <c r="B21" s="359" t="s">
        <v>310</v>
      </c>
      <c r="C21" s="359">
        <v>4278125</v>
      </c>
      <c r="D21" s="4">
        <f>ROUNDUP(6417188,-3)</f>
        <v>6418000</v>
      </c>
      <c r="E21" s="6">
        <v>7059000</v>
      </c>
      <c r="F21" s="6">
        <v>7701000</v>
      </c>
      <c r="G21" s="6">
        <v>9305000</v>
      </c>
      <c r="H21" s="6">
        <v>10910000</v>
      </c>
    </row>
    <row r="23" spans="1:8" ht="16.149999999999999" customHeight="1" thickBot="1">
      <c r="A23" s="350" t="s">
        <v>1200</v>
      </c>
      <c r="B23" s="350"/>
      <c r="C23" s="350"/>
      <c r="D23" s="350"/>
      <c r="E23" s="350"/>
      <c r="F23" s="350"/>
      <c r="G23" s="350"/>
      <c r="H23" s="350"/>
    </row>
    <row r="24" spans="1:8" ht="33" customHeight="1" thickBot="1">
      <c r="A24" s="8" t="s">
        <v>15</v>
      </c>
      <c r="B24" s="345" t="s">
        <v>62</v>
      </c>
      <c r="C24" s="346"/>
      <c r="D24" s="13" t="s">
        <v>414</v>
      </c>
      <c r="E24" s="13" t="s">
        <v>21</v>
      </c>
      <c r="F24" s="13" t="s">
        <v>2309</v>
      </c>
      <c r="G24" s="13" t="s">
        <v>1254</v>
      </c>
      <c r="H24" s="13" t="s">
        <v>498</v>
      </c>
    </row>
    <row r="25" spans="1:8">
      <c r="A25" s="26">
        <v>1</v>
      </c>
      <c r="B25" s="353" t="s">
        <v>307</v>
      </c>
      <c r="C25" s="353">
        <v>1252500</v>
      </c>
      <c r="D25" s="6">
        <v>7000000</v>
      </c>
      <c r="E25" s="6">
        <f>ROUNDUP($D25*1.1,-3)</f>
        <v>7700000</v>
      </c>
      <c r="F25" s="6">
        <f>ROUNDUP($D25*1.2,-3)</f>
        <v>8400000</v>
      </c>
      <c r="G25" s="6">
        <f>ROUNDUP($D25*1.45,-3)</f>
        <v>10150000</v>
      </c>
      <c r="H25" s="6">
        <f>ROUNDUP($D25*1.7,-3)</f>
        <v>11900000</v>
      </c>
    </row>
    <row r="26" spans="1:8">
      <c r="A26" s="27">
        <v>2</v>
      </c>
      <c r="B26" s="354" t="s">
        <v>308</v>
      </c>
      <c r="C26" s="354">
        <v>2268750</v>
      </c>
      <c r="D26" s="4">
        <v>12000000</v>
      </c>
      <c r="E26" s="6">
        <f t="shared" ref="E26:E30" si="0">ROUNDUP($D26*1.1,-3)</f>
        <v>13200000</v>
      </c>
      <c r="F26" s="6">
        <f t="shared" ref="F26:F30" si="1">ROUNDUP($D26*1.2,-3)</f>
        <v>14400000</v>
      </c>
      <c r="G26" s="6">
        <f t="shared" ref="G26:G30" si="2">ROUNDUP($D26*1.45,-3)</f>
        <v>17400000</v>
      </c>
      <c r="H26" s="6">
        <f t="shared" ref="H26:H30" si="3">ROUNDUP($D26*1.7,-3)</f>
        <v>20400000</v>
      </c>
    </row>
    <row r="27" spans="1:8">
      <c r="A27" s="27">
        <v>3</v>
      </c>
      <c r="B27" s="354" t="s">
        <v>309</v>
      </c>
      <c r="C27" s="354">
        <v>3173750</v>
      </c>
      <c r="D27" s="4">
        <v>14000000</v>
      </c>
      <c r="E27" s="6">
        <f t="shared" si="0"/>
        <v>15400000</v>
      </c>
      <c r="F27" s="6">
        <f t="shared" si="1"/>
        <v>16800000</v>
      </c>
      <c r="G27" s="6">
        <f t="shared" si="2"/>
        <v>20300000</v>
      </c>
      <c r="H27" s="6">
        <f t="shared" si="3"/>
        <v>23800000</v>
      </c>
    </row>
    <row r="28" spans="1:8">
      <c r="A28" s="26">
        <v>4</v>
      </c>
      <c r="B28" s="354" t="s">
        <v>1204</v>
      </c>
      <c r="C28" s="354">
        <v>4278125</v>
      </c>
      <c r="D28" s="4">
        <v>19000000</v>
      </c>
      <c r="E28" s="6">
        <f t="shared" si="0"/>
        <v>20900000</v>
      </c>
      <c r="F28" s="6">
        <f t="shared" si="1"/>
        <v>22800000</v>
      </c>
      <c r="G28" s="6">
        <f t="shared" si="2"/>
        <v>27550000</v>
      </c>
      <c r="H28" s="6">
        <f t="shared" si="3"/>
        <v>32300000</v>
      </c>
    </row>
    <row r="29" spans="1:8">
      <c r="A29" s="27">
        <v>5</v>
      </c>
      <c r="B29" s="354" t="s">
        <v>1205</v>
      </c>
      <c r="C29" s="354">
        <v>4278125</v>
      </c>
      <c r="D29" s="4">
        <v>21000000</v>
      </c>
      <c r="E29" s="6">
        <f t="shared" si="0"/>
        <v>23100000</v>
      </c>
      <c r="F29" s="6">
        <f t="shared" si="1"/>
        <v>25200000</v>
      </c>
      <c r="G29" s="6">
        <f t="shared" si="2"/>
        <v>30450000</v>
      </c>
      <c r="H29" s="6">
        <f t="shared" si="3"/>
        <v>35700000</v>
      </c>
    </row>
    <row r="30" spans="1:8">
      <c r="A30" s="27">
        <v>6</v>
      </c>
      <c r="B30" s="354" t="s">
        <v>1206</v>
      </c>
      <c r="C30" s="354">
        <v>4278125</v>
      </c>
      <c r="D30" s="4">
        <v>22000000</v>
      </c>
      <c r="E30" s="6">
        <f t="shared" si="0"/>
        <v>24200000</v>
      </c>
      <c r="F30" s="6">
        <f t="shared" si="1"/>
        <v>26400000</v>
      </c>
      <c r="G30" s="6">
        <f t="shared" si="2"/>
        <v>31900000</v>
      </c>
      <c r="H30" s="6">
        <f t="shared" si="3"/>
        <v>37400000</v>
      </c>
    </row>
    <row r="32" spans="1:8" ht="15" customHeight="1" thickBot="1">
      <c r="A32" s="64" t="s">
        <v>1201</v>
      </c>
      <c r="B32" s="25"/>
      <c r="C32" s="25"/>
      <c r="D32" s="25"/>
      <c r="E32" s="25"/>
      <c r="F32" s="25"/>
      <c r="G32" s="25"/>
      <c r="H32" s="25"/>
    </row>
    <row r="33" spans="1:8" ht="45.75" thickBot="1">
      <c r="A33" s="8" t="s">
        <v>15</v>
      </c>
      <c r="B33" s="345" t="s">
        <v>62</v>
      </c>
      <c r="C33" s="346"/>
      <c r="D33" s="13" t="s">
        <v>414</v>
      </c>
      <c r="E33" s="13" t="s">
        <v>21</v>
      </c>
      <c r="F33" s="13" t="s">
        <v>2309</v>
      </c>
      <c r="G33" s="13" t="s">
        <v>1254</v>
      </c>
      <c r="H33" s="13" t="s">
        <v>498</v>
      </c>
    </row>
    <row r="34" spans="1:8">
      <c r="A34" s="26">
        <v>1</v>
      </c>
      <c r="B34" s="353" t="s">
        <v>307</v>
      </c>
      <c r="C34" s="353">
        <v>1252500</v>
      </c>
      <c r="D34" s="6">
        <f>1366500*1.25</f>
        <v>1708125</v>
      </c>
      <c r="E34" s="6">
        <f>ROUNDUP($D34*1.1,-3)</f>
        <v>1879000</v>
      </c>
      <c r="F34" s="6">
        <f>ROUNDUP($D34*1.2,-3)</f>
        <v>2050000</v>
      </c>
      <c r="G34" s="6">
        <f>ROUNDUP($D34*1.45,-3)</f>
        <v>2477000</v>
      </c>
      <c r="H34" s="6">
        <f>ROUNDUP($D34*1.7,-3)</f>
        <v>2904000</v>
      </c>
    </row>
    <row r="35" spans="1:8">
      <c r="A35" s="27">
        <v>2</v>
      </c>
      <c r="B35" s="354" t="s">
        <v>308</v>
      </c>
      <c r="C35" s="354">
        <v>2268750</v>
      </c>
      <c r="D35" s="6">
        <f>3960000*1.25</f>
        <v>4950000</v>
      </c>
      <c r="E35" s="6">
        <f t="shared" ref="E35:E37" si="4">ROUNDUP($D35*1.1,-3)</f>
        <v>5445000</v>
      </c>
      <c r="F35" s="6">
        <f t="shared" ref="F35:F37" si="5">ROUNDUP($D35*1.2,-3)</f>
        <v>5940000</v>
      </c>
      <c r="G35" s="6">
        <f t="shared" ref="G35:G37" si="6">ROUNDUP($D35*1.45,-3)</f>
        <v>7178000</v>
      </c>
      <c r="H35" s="6">
        <f t="shared" ref="H35:H37" si="7">ROUNDUP($D35*1.7,-3)</f>
        <v>8415000</v>
      </c>
    </row>
    <row r="36" spans="1:8">
      <c r="A36" s="27">
        <v>3</v>
      </c>
      <c r="B36" s="354" t="s">
        <v>870</v>
      </c>
      <c r="C36" s="354">
        <v>3173750</v>
      </c>
      <c r="D36" s="6">
        <f>9108000*1.25</f>
        <v>11385000</v>
      </c>
      <c r="E36" s="6">
        <f t="shared" si="4"/>
        <v>12524000</v>
      </c>
      <c r="F36" s="6">
        <f t="shared" si="5"/>
        <v>13662000</v>
      </c>
      <c r="G36" s="6">
        <f t="shared" si="6"/>
        <v>16509000</v>
      </c>
      <c r="H36" s="6">
        <f t="shared" si="7"/>
        <v>19355000</v>
      </c>
    </row>
    <row r="37" spans="1:8" ht="15.75" thickBot="1">
      <c r="A37" s="29">
        <v>4</v>
      </c>
      <c r="B37" s="359" t="s">
        <v>871</v>
      </c>
      <c r="C37" s="359">
        <v>4278125</v>
      </c>
      <c r="D37" s="6">
        <f>7286250*1.25</f>
        <v>9107812.5</v>
      </c>
      <c r="E37" s="6">
        <f t="shared" si="4"/>
        <v>10019000</v>
      </c>
      <c r="F37" s="6">
        <f t="shared" si="5"/>
        <v>10930000</v>
      </c>
      <c r="G37" s="6">
        <f t="shared" si="6"/>
        <v>13207000</v>
      </c>
      <c r="H37" s="6">
        <f t="shared" si="7"/>
        <v>15484000</v>
      </c>
    </row>
    <row r="39" spans="1:8" ht="15" customHeight="1" thickBot="1">
      <c r="A39" s="64" t="s">
        <v>1202</v>
      </c>
      <c r="B39" s="64"/>
      <c r="C39" s="64"/>
      <c r="D39" s="64"/>
      <c r="E39" s="64"/>
      <c r="F39" s="64"/>
      <c r="G39" s="64"/>
      <c r="H39" s="64"/>
    </row>
    <row r="40" spans="1:8" ht="45.75" thickBot="1">
      <c r="A40" s="8" t="s">
        <v>15</v>
      </c>
      <c r="B40" s="345" t="s">
        <v>62</v>
      </c>
      <c r="C40" s="346"/>
      <c r="D40" s="13" t="s">
        <v>414</v>
      </c>
      <c r="E40" s="13" t="s">
        <v>21</v>
      </c>
      <c r="F40" s="13" t="s">
        <v>2309</v>
      </c>
      <c r="G40" s="13" t="s">
        <v>1254</v>
      </c>
      <c r="H40" s="13" t="s">
        <v>498</v>
      </c>
    </row>
    <row r="41" spans="1:8" ht="15" customHeight="1">
      <c r="A41" s="16">
        <v>1</v>
      </c>
      <c r="B41" s="353" t="s">
        <v>2</v>
      </c>
      <c r="C41" s="353">
        <v>2779000</v>
      </c>
      <c r="D41" s="101">
        <f>2778875*1.1</f>
        <v>3056762.5000000005</v>
      </c>
      <c r="E41" s="101">
        <f>ROUNDUP(D41*1.2,-3)</f>
        <v>3669000</v>
      </c>
      <c r="F41" s="101">
        <f>ROUNDUP(D41*1.6,-3)</f>
        <v>4891000</v>
      </c>
      <c r="G41" s="101">
        <f>ROUNDUP(D41*2.2,-3)</f>
        <v>6725000</v>
      </c>
      <c r="H41" s="101">
        <f>ROUNDUP(D41*2.4,-3)</f>
        <v>7337000</v>
      </c>
    </row>
    <row r="42" spans="1:8">
      <c r="A42" s="17">
        <v>2</v>
      </c>
      <c r="B42" s="354" t="s">
        <v>3</v>
      </c>
      <c r="C42" s="354">
        <v>3032000</v>
      </c>
      <c r="D42" s="100">
        <f>3031187.5*1.1</f>
        <v>3334306.2500000005</v>
      </c>
      <c r="E42" s="101">
        <f t="shared" ref="E42:E47" si="8">ROUNDUP(D42*1.2,-3)</f>
        <v>4002000</v>
      </c>
      <c r="F42" s="101">
        <f t="shared" ref="F42:F47" si="9">ROUNDUP(D42*1.6,-3)</f>
        <v>5335000</v>
      </c>
      <c r="G42" s="101">
        <f t="shared" ref="G42:G47" si="10">ROUNDUP(D42*2.2,-3)</f>
        <v>7336000</v>
      </c>
      <c r="H42" s="101">
        <f t="shared" ref="H42:H47" si="11">ROUNDUP(D42*2.4,-3)</f>
        <v>8003000</v>
      </c>
    </row>
    <row r="43" spans="1:8">
      <c r="A43" s="17">
        <v>3</v>
      </c>
      <c r="B43" s="354" t="s">
        <v>4</v>
      </c>
      <c r="C43" s="354">
        <v>3233000</v>
      </c>
      <c r="D43" s="100">
        <f>3232625*1.1</f>
        <v>3555887.5000000005</v>
      </c>
      <c r="E43" s="101">
        <f t="shared" si="8"/>
        <v>4268000</v>
      </c>
      <c r="F43" s="101">
        <f t="shared" si="9"/>
        <v>5690000</v>
      </c>
      <c r="G43" s="101">
        <f t="shared" si="10"/>
        <v>7823000</v>
      </c>
      <c r="H43" s="101">
        <f t="shared" si="11"/>
        <v>8535000</v>
      </c>
    </row>
    <row r="44" spans="1:8">
      <c r="A44" s="17">
        <v>4</v>
      </c>
      <c r="B44" s="354" t="s">
        <v>5</v>
      </c>
      <c r="C44" s="354">
        <v>3475000</v>
      </c>
      <c r="D44" s="100">
        <f>3474625*1.1</f>
        <v>3822087.5000000005</v>
      </c>
      <c r="E44" s="101">
        <f t="shared" si="8"/>
        <v>4587000</v>
      </c>
      <c r="F44" s="101">
        <f t="shared" si="9"/>
        <v>6116000</v>
      </c>
      <c r="G44" s="101">
        <f t="shared" si="10"/>
        <v>8409000</v>
      </c>
      <c r="H44" s="101">
        <f t="shared" si="11"/>
        <v>9174000</v>
      </c>
    </row>
    <row r="45" spans="1:8">
      <c r="A45" s="17">
        <v>5</v>
      </c>
      <c r="B45" s="354" t="s">
        <v>6</v>
      </c>
      <c r="C45" s="354">
        <v>1079000</v>
      </c>
      <c r="D45" s="100">
        <f>1078686.4*1.1</f>
        <v>1186555.04</v>
      </c>
      <c r="E45" s="101">
        <f t="shared" si="8"/>
        <v>1424000</v>
      </c>
      <c r="F45" s="101">
        <f t="shared" si="9"/>
        <v>1899000</v>
      </c>
      <c r="G45" s="101">
        <f t="shared" si="10"/>
        <v>2611000</v>
      </c>
      <c r="H45" s="101">
        <f t="shared" si="11"/>
        <v>2848000</v>
      </c>
    </row>
    <row r="46" spans="1:8" ht="16.149999999999999" customHeight="1">
      <c r="A46" s="17">
        <v>6</v>
      </c>
      <c r="B46" s="354" t="s">
        <v>7</v>
      </c>
      <c r="C46" s="354">
        <v>2223000</v>
      </c>
      <c r="D46" s="100">
        <f>2222687.5*1.1</f>
        <v>2444956.25</v>
      </c>
      <c r="E46" s="101">
        <f t="shared" si="8"/>
        <v>2934000</v>
      </c>
      <c r="F46" s="101">
        <f t="shared" si="9"/>
        <v>3912000</v>
      </c>
      <c r="G46" s="101">
        <f t="shared" si="10"/>
        <v>5379000</v>
      </c>
      <c r="H46" s="101">
        <f t="shared" si="11"/>
        <v>5868000</v>
      </c>
    </row>
    <row r="47" spans="1:8">
      <c r="A47" s="17">
        <v>7</v>
      </c>
      <c r="B47" s="360" t="s">
        <v>1</v>
      </c>
      <c r="C47" s="360"/>
      <c r="D47" s="100">
        <f>1221687.5*1.1</f>
        <v>1343856.25</v>
      </c>
      <c r="E47" s="101">
        <f t="shared" si="8"/>
        <v>1613000</v>
      </c>
      <c r="F47" s="101">
        <f t="shared" si="9"/>
        <v>2151000</v>
      </c>
      <c r="G47" s="101">
        <f t="shared" si="10"/>
        <v>2957000</v>
      </c>
      <c r="H47" s="101">
        <f t="shared" si="11"/>
        <v>3226000</v>
      </c>
    </row>
    <row r="48" spans="1:8">
      <c r="A48" s="17">
        <v>8</v>
      </c>
      <c r="B48" s="354" t="s">
        <v>2342</v>
      </c>
      <c r="C48" s="354"/>
      <c r="D48" s="289" t="s">
        <v>2343</v>
      </c>
      <c r="E48" s="289" t="s">
        <v>2343</v>
      </c>
      <c r="F48" s="289" t="s">
        <v>2343</v>
      </c>
      <c r="G48" s="100">
        <v>165000</v>
      </c>
      <c r="H48" s="100">
        <v>165000</v>
      </c>
    </row>
    <row r="49" spans="1:9">
      <c r="B49" s="171"/>
      <c r="C49" s="171"/>
      <c r="D49" s="23"/>
      <c r="E49" s="23"/>
      <c r="F49" s="23"/>
      <c r="G49" s="23"/>
      <c r="H49" s="23"/>
    </row>
    <row r="50" spans="1:9" ht="16.5" thickBot="1">
      <c r="A50" s="64" t="s">
        <v>2314</v>
      </c>
      <c r="B50" s="64"/>
      <c r="C50" s="64"/>
      <c r="D50" s="64"/>
      <c r="E50" s="64"/>
      <c r="F50" s="64"/>
      <c r="G50" s="64"/>
      <c r="H50" s="64"/>
    </row>
    <row r="51" spans="1:9" ht="30.75" thickBot="1">
      <c r="A51" s="111" t="s">
        <v>15</v>
      </c>
      <c r="B51" s="203" t="s">
        <v>62</v>
      </c>
      <c r="C51" s="121" t="s">
        <v>414</v>
      </c>
      <c r="D51" s="121" t="s">
        <v>21</v>
      </c>
      <c r="E51" s="13" t="s">
        <v>22</v>
      </c>
      <c r="F51" s="204" t="s">
        <v>2310</v>
      </c>
      <c r="G51" s="204" t="s">
        <v>1255</v>
      </c>
      <c r="H51" s="121" t="s">
        <v>1256</v>
      </c>
      <c r="I51" s="121" t="s">
        <v>61</v>
      </c>
    </row>
    <row r="52" spans="1:9">
      <c r="A52" s="205">
        <v>1</v>
      </c>
      <c r="B52" s="206" t="s">
        <v>1141</v>
      </c>
      <c r="C52" s="207">
        <v>11000000</v>
      </c>
      <c r="D52" s="207">
        <v>12375000</v>
      </c>
      <c r="E52" s="207">
        <v>15125000</v>
      </c>
      <c r="F52" s="208">
        <v>17875000</v>
      </c>
      <c r="G52" s="208">
        <v>20625000</v>
      </c>
      <c r="H52" s="209">
        <v>23375000</v>
      </c>
      <c r="I52" s="210">
        <v>26125000</v>
      </c>
    </row>
    <row r="53" spans="1:9">
      <c r="A53" s="27">
        <v>2</v>
      </c>
      <c r="B53" s="211" t="s">
        <v>1257</v>
      </c>
      <c r="C53" s="19">
        <v>35750000</v>
      </c>
      <c r="D53" s="19">
        <v>38500000</v>
      </c>
      <c r="E53" s="19">
        <v>41250000</v>
      </c>
      <c r="F53" s="212">
        <v>44000000</v>
      </c>
      <c r="G53" s="212">
        <v>46750000</v>
      </c>
      <c r="H53" s="19">
        <v>49500000</v>
      </c>
      <c r="I53" s="188">
        <v>52250000</v>
      </c>
    </row>
    <row r="54" spans="1:9">
      <c r="A54" s="213">
        <v>3</v>
      </c>
      <c r="B54" s="214" t="s">
        <v>1258</v>
      </c>
      <c r="C54" s="19">
        <v>41250000</v>
      </c>
      <c r="D54" s="19">
        <v>44000000</v>
      </c>
      <c r="E54" s="19">
        <v>46200000</v>
      </c>
      <c r="F54" s="19">
        <v>49500000</v>
      </c>
      <c r="G54" s="19">
        <v>52250000</v>
      </c>
      <c r="H54" s="19">
        <v>55000000</v>
      </c>
      <c r="I54" s="188">
        <v>57750000</v>
      </c>
    </row>
    <row r="55" spans="1:9">
      <c r="A55" s="189">
        <v>4</v>
      </c>
      <c r="B55" s="196" t="s">
        <v>1142</v>
      </c>
      <c r="C55" s="19">
        <f>6000000*1.1</f>
        <v>6600000.0000000009</v>
      </c>
      <c r="D55" s="4">
        <f>ROUNDUP($C55*1.1,-3)</f>
        <v>7260000</v>
      </c>
      <c r="E55" s="4">
        <f>ROUNDUP($C55*1.2,-3)</f>
        <v>7920000</v>
      </c>
      <c r="F55" s="4">
        <f>ROUNDUP($C55*1.45,-3)</f>
        <v>9570000</v>
      </c>
      <c r="G55" s="4">
        <f>F55</f>
        <v>9570000</v>
      </c>
      <c r="H55" s="4">
        <f>ROUNDUP($C55*1.7,-3)</f>
        <v>11220000</v>
      </c>
      <c r="I55" s="188">
        <f>H55</f>
        <v>11220000</v>
      </c>
    </row>
    <row r="56" spans="1:9" ht="15.75" thickBot="1">
      <c r="A56" s="29">
        <v>5</v>
      </c>
      <c r="B56" s="195" t="s">
        <v>1259</v>
      </c>
      <c r="C56" s="284">
        <v>35310000</v>
      </c>
      <c r="D56" s="31">
        <f>ROUNDUP($C56*1.1,-3)</f>
        <v>38841000</v>
      </c>
      <c r="E56" s="31">
        <f>ROUNDUP($C56*1.2,-3)</f>
        <v>42372000</v>
      </c>
      <c r="F56" s="31">
        <f>ROUNDUP($C56*1.45,-3)</f>
        <v>51200000</v>
      </c>
      <c r="G56" s="31">
        <f>F56</f>
        <v>51200000</v>
      </c>
      <c r="H56" s="31">
        <f>ROUNDUP($C56*1.7,-3)</f>
        <v>60027000</v>
      </c>
      <c r="I56" s="285">
        <f>H56</f>
        <v>60027000</v>
      </c>
    </row>
    <row r="58" spans="1:9" ht="16.5" thickBot="1">
      <c r="A58" s="64" t="s">
        <v>1203</v>
      </c>
    </row>
    <row r="59" spans="1:9" ht="45.75" thickBot="1">
      <c r="A59" s="8" t="s">
        <v>15</v>
      </c>
      <c r="B59" s="345" t="s">
        <v>62</v>
      </c>
      <c r="C59" s="346"/>
      <c r="D59" s="13" t="s">
        <v>414</v>
      </c>
      <c r="E59" s="13" t="s">
        <v>21</v>
      </c>
      <c r="F59" s="13" t="s">
        <v>2309</v>
      </c>
      <c r="G59" s="13" t="s">
        <v>1254</v>
      </c>
      <c r="H59" s="13" t="s">
        <v>498</v>
      </c>
    </row>
    <row r="60" spans="1:9">
      <c r="A60" s="16">
        <v>1</v>
      </c>
      <c r="B60" s="344" t="s">
        <v>1134</v>
      </c>
      <c r="C60" s="344"/>
      <c r="D60" s="6">
        <v>3663000</v>
      </c>
      <c r="E60" s="6">
        <v>4028000</v>
      </c>
      <c r="F60" s="6">
        <v>4395000</v>
      </c>
      <c r="G60" s="6">
        <v>5310000</v>
      </c>
      <c r="H60" s="6">
        <v>6226000</v>
      </c>
    </row>
    <row r="61" spans="1:9">
      <c r="A61" s="17">
        <v>2</v>
      </c>
      <c r="B61" s="343" t="s">
        <v>1135</v>
      </c>
      <c r="C61" s="343"/>
      <c r="D61" s="4">
        <v>2715000</v>
      </c>
      <c r="E61" s="4">
        <v>2986000</v>
      </c>
      <c r="F61" s="4">
        <v>3257000</v>
      </c>
      <c r="G61" s="4">
        <v>3935000</v>
      </c>
      <c r="H61" s="4">
        <v>4613000</v>
      </c>
    </row>
    <row r="62" spans="1:9">
      <c r="A62" s="17">
        <v>3</v>
      </c>
      <c r="B62" s="343" t="s">
        <v>1136</v>
      </c>
      <c r="C62" s="343"/>
      <c r="D62" s="4">
        <v>2352000</v>
      </c>
      <c r="E62" s="4">
        <v>2588000</v>
      </c>
      <c r="F62" s="4">
        <v>2823000</v>
      </c>
      <c r="G62" s="4">
        <v>3411000</v>
      </c>
      <c r="H62" s="4">
        <v>3999000</v>
      </c>
    </row>
    <row r="63" spans="1:9">
      <c r="A63" s="17">
        <v>4</v>
      </c>
      <c r="B63" s="343" t="s">
        <v>1137</v>
      </c>
      <c r="C63" s="343"/>
      <c r="D63" s="4">
        <v>4408000</v>
      </c>
      <c r="E63" s="4">
        <v>4849000</v>
      </c>
      <c r="F63" s="4">
        <v>5290000</v>
      </c>
      <c r="G63" s="4">
        <v>6392000</v>
      </c>
      <c r="H63" s="4">
        <v>7493000</v>
      </c>
    </row>
    <row r="65" spans="1:8" ht="16.5" thickBot="1">
      <c r="A65" s="64" t="s">
        <v>2315</v>
      </c>
    </row>
    <row r="66" spans="1:8" ht="45.75" thickBot="1">
      <c r="A66" s="8" t="s">
        <v>15</v>
      </c>
      <c r="B66" s="345" t="s">
        <v>62</v>
      </c>
      <c r="C66" s="346"/>
      <c r="D66" s="13" t="s">
        <v>414</v>
      </c>
      <c r="E66" s="13" t="s">
        <v>21</v>
      </c>
      <c r="F66" s="13" t="s">
        <v>2309</v>
      </c>
      <c r="G66" s="13" t="s">
        <v>1254</v>
      </c>
      <c r="H66" s="13" t="s">
        <v>498</v>
      </c>
    </row>
    <row r="67" spans="1:8">
      <c r="A67" s="16">
        <v>1</v>
      </c>
      <c r="B67" s="344" t="s">
        <v>309</v>
      </c>
      <c r="C67" s="344"/>
      <c r="D67" s="6">
        <v>7000000</v>
      </c>
      <c r="E67" s="6">
        <f>ROUNDUP(D67*1.1,-3)</f>
        <v>7700000</v>
      </c>
      <c r="F67" s="6">
        <f>ROUNDUP(D67*1.2,-3)</f>
        <v>8400000</v>
      </c>
      <c r="G67" s="6">
        <f>ROUNDUP(D67*1.45,-3)</f>
        <v>10150000</v>
      </c>
      <c r="H67" s="6">
        <f>ROUNDUP(D67*1.7,-3)</f>
        <v>11900000</v>
      </c>
    </row>
    <row r="68" spans="1:8">
      <c r="A68" s="17">
        <v>2</v>
      </c>
      <c r="B68" s="343" t="s">
        <v>310</v>
      </c>
      <c r="C68" s="343"/>
      <c r="D68" s="4">
        <v>10000000</v>
      </c>
      <c r="E68" s="6">
        <f>ROUNDUP(D68*1.1,-3)</f>
        <v>11000000</v>
      </c>
      <c r="F68" s="6">
        <f>ROUNDUP(D68*1.2,-3)</f>
        <v>12000000</v>
      </c>
      <c r="G68" s="6">
        <f>ROUNDUP(D68*1.45,-3)</f>
        <v>14500000</v>
      </c>
      <c r="H68" s="6">
        <f>ROUNDUP(D68*1.7,-3)</f>
        <v>17000000</v>
      </c>
    </row>
    <row r="70" spans="1:8">
      <c r="A70" s="67" t="s">
        <v>462</v>
      </c>
    </row>
    <row r="71" spans="1:8">
      <c r="A71" s="61" t="s">
        <v>1554</v>
      </c>
    </row>
    <row r="72" spans="1:8">
      <c r="A72" s="67"/>
    </row>
    <row r="73" spans="1:8" ht="15" customHeight="1">
      <c r="A73" s="22" t="s">
        <v>465</v>
      </c>
      <c r="B73" s="177"/>
      <c r="C73" s="177"/>
      <c r="D73" s="177"/>
      <c r="E73" s="177"/>
      <c r="F73" s="177"/>
      <c r="G73" s="177"/>
      <c r="H73" s="177"/>
    </row>
    <row r="74" spans="1:8">
      <c r="A74" s="22" t="s">
        <v>466</v>
      </c>
      <c r="B74" s="177"/>
      <c r="C74" s="177"/>
      <c r="D74" s="177"/>
      <c r="E74" s="177"/>
      <c r="F74" s="177"/>
      <c r="G74" s="177"/>
      <c r="H74" s="177"/>
    </row>
    <row r="75" spans="1:8" ht="15" customHeight="1">
      <c r="B75" s="177"/>
      <c r="C75" s="177"/>
      <c r="D75" s="177"/>
      <c r="E75" s="177"/>
      <c r="F75" s="177"/>
      <c r="G75" s="177"/>
      <c r="H75" s="177"/>
    </row>
    <row r="76" spans="1:8">
      <c r="A76" s="177"/>
      <c r="B76" s="177"/>
      <c r="C76" s="177"/>
      <c r="D76" s="177"/>
      <c r="E76" s="177"/>
      <c r="F76" s="177"/>
      <c r="G76" s="177"/>
      <c r="H76" s="177"/>
    </row>
  </sheetData>
  <mergeCells count="46">
    <mergeCell ref="B62:C62"/>
    <mergeCell ref="B63:C63"/>
    <mergeCell ref="B36:C36"/>
    <mergeCell ref="B37:C37"/>
    <mergeCell ref="B40:C40"/>
    <mergeCell ref="B41:C41"/>
    <mergeCell ref="B44:C44"/>
    <mergeCell ref="B45:C45"/>
    <mergeCell ref="B46:C46"/>
    <mergeCell ref="B47:C47"/>
    <mergeCell ref="B59:C59"/>
    <mergeCell ref="B42:C42"/>
    <mergeCell ref="B43:C43"/>
    <mergeCell ref="B48:C48"/>
    <mergeCell ref="B18:C18"/>
    <mergeCell ref="B19:C19"/>
    <mergeCell ref="B20:C20"/>
    <mergeCell ref="B60:C60"/>
    <mergeCell ref="B61:C61"/>
    <mergeCell ref="B21:C21"/>
    <mergeCell ref="B28:C28"/>
    <mergeCell ref="B29:C29"/>
    <mergeCell ref="B30:C30"/>
    <mergeCell ref="B24:C24"/>
    <mergeCell ref="B33:C33"/>
    <mergeCell ref="B34:C34"/>
    <mergeCell ref="B35:C35"/>
    <mergeCell ref="B25:C25"/>
    <mergeCell ref="B26:C26"/>
    <mergeCell ref="B27:C27"/>
    <mergeCell ref="B68:C68"/>
    <mergeCell ref="B67:C67"/>
    <mergeCell ref="B66:C66"/>
    <mergeCell ref="B10:C10"/>
    <mergeCell ref="A4:B4"/>
    <mergeCell ref="A15:H15"/>
    <mergeCell ref="A23:H23"/>
    <mergeCell ref="B5:C5"/>
    <mergeCell ref="B6:C6"/>
    <mergeCell ref="B7:C7"/>
    <mergeCell ref="B8:C8"/>
    <mergeCell ref="B9:C9"/>
    <mergeCell ref="B12:C12"/>
    <mergeCell ref="B13:C13"/>
    <mergeCell ref="A16:H16"/>
    <mergeCell ref="B17:C17"/>
  </mergeCells>
  <pageMargins left="0.25" right="0.25" top="0.75" bottom="0.75" header="0.3" footer="0.3"/>
  <pageSetup paperSize="9" scale="53" orientation="portrait" horizontalDpi="4294967293" r:id="rId1"/>
  <headerFooter>
    <oddHeader>&amp;R&amp;"-,Bold"OPERASI</oddHeader>
    <oddFooter>&amp;L&amp;P+36 | &amp;F&amp;RTARIF TINDAKAN OPERASI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53115-6EF9-4528-9421-94A53B28B664}">
  <sheetPr>
    <pageSetUpPr fitToPage="1"/>
  </sheetPr>
  <dimension ref="A1:P241"/>
  <sheetViews>
    <sheetView showGridLines="0" tabSelected="1" view="pageLayout" topLeftCell="A115" zoomScale="85" zoomScaleNormal="100" zoomScalePageLayoutView="85" workbookViewId="0">
      <selection activeCell="F126" sqref="F126"/>
    </sheetView>
  </sheetViews>
  <sheetFormatPr defaultRowHeight="15"/>
  <cols>
    <col min="1" max="1" width="6.7109375" style="15" customWidth="1"/>
    <col min="2" max="2" width="31.7109375" customWidth="1"/>
    <col min="3" max="4" width="32.42578125" customWidth="1"/>
    <col min="5" max="5" width="33.140625" customWidth="1"/>
    <col min="6" max="6" width="32.42578125" customWidth="1"/>
    <col min="7" max="7" width="33.28515625" customWidth="1"/>
  </cols>
  <sheetData>
    <row r="1" spans="1:7" ht="15.6" customHeight="1">
      <c r="A1" s="54" t="s">
        <v>787</v>
      </c>
      <c r="B1" s="50"/>
      <c r="C1" s="50"/>
      <c r="D1" s="50"/>
      <c r="G1" s="25"/>
    </row>
    <row r="2" spans="1:7" ht="16.149999999999999" customHeight="1">
      <c r="A2" s="54" t="s">
        <v>381</v>
      </c>
      <c r="B2" s="50"/>
      <c r="C2" s="50"/>
      <c r="D2" s="50"/>
      <c r="G2" s="25"/>
    </row>
    <row r="3" spans="1:7" ht="15.75">
      <c r="B3" s="25"/>
      <c r="C3" s="25"/>
      <c r="D3" s="10"/>
    </row>
    <row r="4" spans="1:7" ht="16.149999999999999" customHeight="1" thickBot="1">
      <c r="A4" s="63" t="s">
        <v>788</v>
      </c>
      <c r="B4" s="60"/>
      <c r="C4" s="60"/>
      <c r="D4" s="60"/>
    </row>
    <row r="5" spans="1:7" ht="25.9" customHeight="1">
      <c r="A5" s="141" t="s">
        <v>15</v>
      </c>
      <c r="B5" s="140" t="s">
        <v>382</v>
      </c>
      <c r="C5" s="140" t="s">
        <v>383</v>
      </c>
      <c r="D5" s="140" t="s">
        <v>384</v>
      </c>
      <c r="E5" s="140" t="s">
        <v>385</v>
      </c>
      <c r="F5" s="199"/>
    </row>
    <row r="6" spans="1:7" ht="30">
      <c r="A6" s="153">
        <v>1</v>
      </c>
      <c r="B6" s="142" t="s">
        <v>494</v>
      </c>
      <c r="C6" s="144" t="s">
        <v>646</v>
      </c>
      <c r="D6" s="142" t="s">
        <v>657</v>
      </c>
      <c r="E6" s="149" t="s">
        <v>674</v>
      </c>
      <c r="F6" s="197"/>
    </row>
    <row r="7" spans="1:7">
      <c r="A7" s="153">
        <v>2</v>
      </c>
      <c r="B7" s="142" t="s">
        <v>641</v>
      </c>
      <c r="C7" s="142" t="s">
        <v>840</v>
      </c>
      <c r="D7" s="142" t="s">
        <v>658</v>
      </c>
      <c r="E7" s="149" t="s">
        <v>675</v>
      </c>
      <c r="F7" s="197"/>
    </row>
    <row r="8" spans="1:7" ht="30">
      <c r="A8" s="153">
        <v>3</v>
      </c>
      <c r="B8" s="142" t="s">
        <v>642</v>
      </c>
      <c r="C8" s="144" t="s">
        <v>647</v>
      </c>
      <c r="D8" s="142" t="s">
        <v>659</v>
      </c>
      <c r="E8" s="149" t="s">
        <v>676</v>
      </c>
      <c r="F8" s="197"/>
    </row>
    <row r="9" spans="1:7">
      <c r="A9" s="153">
        <v>4</v>
      </c>
      <c r="B9" s="142" t="s">
        <v>643</v>
      </c>
      <c r="C9" s="142" t="s">
        <v>648</v>
      </c>
      <c r="D9" s="143" t="s">
        <v>660</v>
      </c>
      <c r="E9" s="149" t="s">
        <v>677</v>
      </c>
      <c r="F9" s="197"/>
    </row>
    <row r="10" spans="1:7">
      <c r="A10" s="153">
        <v>5</v>
      </c>
      <c r="B10" s="142" t="s">
        <v>644</v>
      </c>
      <c r="C10" s="142" t="s">
        <v>649</v>
      </c>
      <c r="D10" s="143" t="s">
        <v>661</v>
      </c>
      <c r="E10" s="149" t="s">
        <v>678</v>
      </c>
      <c r="F10" s="197"/>
    </row>
    <row r="11" spans="1:7" ht="30">
      <c r="A11" s="153">
        <v>6</v>
      </c>
      <c r="B11" s="91" t="s">
        <v>645</v>
      </c>
      <c r="C11" s="142" t="s">
        <v>650</v>
      </c>
      <c r="D11" s="143" t="s">
        <v>532</v>
      </c>
      <c r="E11" s="149" t="s">
        <v>679</v>
      </c>
      <c r="F11" s="197"/>
    </row>
    <row r="12" spans="1:7">
      <c r="A12" s="153">
        <v>7</v>
      </c>
      <c r="B12" s="131" t="s">
        <v>2337</v>
      </c>
      <c r="C12" s="142" t="s">
        <v>651</v>
      </c>
      <c r="D12" s="143" t="s">
        <v>662</v>
      </c>
      <c r="E12" s="149" t="s">
        <v>680</v>
      </c>
      <c r="F12" s="197"/>
    </row>
    <row r="13" spans="1:7">
      <c r="A13" s="153">
        <v>8</v>
      </c>
      <c r="B13" s="91"/>
      <c r="C13" s="142" t="s">
        <v>652</v>
      </c>
      <c r="D13" s="143" t="s">
        <v>663</v>
      </c>
      <c r="E13" s="149" t="s">
        <v>681</v>
      </c>
      <c r="F13" s="197"/>
    </row>
    <row r="14" spans="1:7">
      <c r="A14" s="153">
        <v>9</v>
      </c>
      <c r="B14" s="91"/>
      <c r="C14" s="142" t="s">
        <v>653</v>
      </c>
      <c r="D14" s="143" t="s">
        <v>664</v>
      </c>
      <c r="E14" s="149" t="s">
        <v>682</v>
      </c>
      <c r="F14" s="197"/>
    </row>
    <row r="15" spans="1:7">
      <c r="A15" s="153">
        <v>10</v>
      </c>
      <c r="B15" s="91"/>
      <c r="C15" s="142" t="s">
        <v>654</v>
      </c>
      <c r="D15" s="143" t="s">
        <v>673</v>
      </c>
      <c r="E15" s="149" t="s">
        <v>683</v>
      </c>
      <c r="F15" s="197"/>
    </row>
    <row r="16" spans="1:7">
      <c r="A16" s="153">
        <v>11</v>
      </c>
      <c r="B16" s="91"/>
      <c r="C16" s="142" t="s">
        <v>655</v>
      </c>
      <c r="D16" s="143" t="s">
        <v>665</v>
      </c>
      <c r="E16" s="149" t="s">
        <v>684</v>
      </c>
      <c r="F16" s="197"/>
    </row>
    <row r="17" spans="1:6">
      <c r="A17" s="153">
        <v>12</v>
      </c>
      <c r="B17" s="91"/>
      <c r="C17" s="142" t="s">
        <v>845</v>
      </c>
      <c r="D17" s="143" t="s">
        <v>666</v>
      </c>
      <c r="E17" s="149" t="s">
        <v>685</v>
      </c>
      <c r="F17" s="197"/>
    </row>
    <row r="18" spans="1:6" ht="30">
      <c r="A18" s="153">
        <v>13</v>
      </c>
      <c r="B18" s="91"/>
      <c r="C18" s="142" t="s">
        <v>656</v>
      </c>
      <c r="D18" s="143" t="s">
        <v>667</v>
      </c>
      <c r="E18" s="149" t="s">
        <v>686</v>
      </c>
      <c r="F18" s="197"/>
    </row>
    <row r="19" spans="1:6">
      <c r="A19" s="153">
        <v>14</v>
      </c>
      <c r="B19" s="91"/>
      <c r="C19" s="142" t="s">
        <v>846</v>
      </c>
      <c r="D19" s="143" t="s">
        <v>668</v>
      </c>
      <c r="E19" s="149" t="s">
        <v>687</v>
      </c>
      <c r="F19" s="197"/>
    </row>
    <row r="20" spans="1:6">
      <c r="A20" s="153">
        <v>15</v>
      </c>
      <c r="B20" s="91"/>
      <c r="C20" s="91" t="s">
        <v>569</v>
      </c>
      <c r="D20" s="143" t="s">
        <v>669</v>
      </c>
      <c r="E20" s="149" t="s">
        <v>688</v>
      </c>
      <c r="F20" s="197"/>
    </row>
    <row r="21" spans="1:6">
      <c r="A21" s="153">
        <v>16</v>
      </c>
      <c r="B21" s="91"/>
      <c r="C21" s="91"/>
      <c r="D21" s="143" t="s">
        <v>670</v>
      </c>
      <c r="E21" s="149" t="s">
        <v>689</v>
      </c>
      <c r="F21" s="197"/>
    </row>
    <row r="22" spans="1:6">
      <c r="A22" s="153">
        <v>17</v>
      </c>
      <c r="B22" s="91"/>
      <c r="C22" s="91"/>
      <c r="D22" s="143" t="s">
        <v>671</v>
      </c>
      <c r="E22" s="146" t="s">
        <v>690</v>
      </c>
      <c r="F22" s="177"/>
    </row>
    <row r="23" spans="1:6">
      <c r="A23" s="153">
        <v>18</v>
      </c>
      <c r="B23" s="91"/>
      <c r="C23" s="91"/>
      <c r="D23" s="143" t="s">
        <v>672</v>
      </c>
      <c r="E23" s="146" t="s">
        <v>691</v>
      </c>
      <c r="F23" s="177"/>
    </row>
    <row r="24" spans="1:6">
      <c r="A24" s="153">
        <v>19</v>
      </c>
      <c r="B24" s="91"/>
      <c r="C24" s="91"/>
      <c r="D24" s="91"/>
      <c r="E24" s="146" t="s">
        <v>692</v>
      </c>
      <c r="F24" s="177"/>
    </row>
    <row r="25" spans="1:6" ht="30">
      <c r="A25" s="153">
        <v>20</v>
      </c>
      <c r="B25" s="91"/>
      <c r="C25" s="91"/>
      <c r="D25" s="91"/>
      <c r="E25" s="146" t="s">
        <v>693</v>
      </c>
      <c r="F25" s="177"/>
    </row>
    <row r="26" spans="1:6">
      <c r="A26" s="153">
        <v>21</v>
      </c>
      <c r="B26" s="91"/>
      <c r="C26" s="91"/>
      <c r="D26" s="91"/>
      <c r="E26" s="152" t="s">
        <v>694</v>
      </c>
      <c r="F26" s="35"/>
    </row>
    <row r="27" spans="1:6">
      <c r="A27" s="153">
        <v>22</v>
      </c>
      <c r="B27" s="91"/>
      <c r="C27" s="91"/>
      <c r="D27" s="91"/>
      <c r="E27" s="152" t="s">
        <v>550</v>
      </c>
      <c r="F27" s="35"/>
    </row>
    <row r="28" spans="1:6">
      <c r="A28" s="153">
        <v>23</v>
      </c>
      <c r="B28" s="91"/>
      <c r="C28" s="91"/>
      <c r="D28" s="91"/>
      <c r="E28" s="152" t="s">
        <v>695</v>
      </c>
      <c r="F28" s="35"/>
    </row>
    <row r="29" spans="1:6" ht="30">
      <c r="A29" s="153">
        <v>24</v>
      </c>
      <c r="B29" s="91"/>
      <c r="C29" s="91"/>
      <c r="D29" s="91"/>
      <c r="E29" s="152" t="s">
        <v>696</v>
      </c>
      <c r="F29" s="35"/>
    </row>
    <row r="30" spans="1:6">
      <c r="A30" s="153">
        <v>25</v>
      </c>
      <c r="B30" s="91"/>
      <c r="C30" s="91"/>
      <c r="D30" s="91"/>
      <c r="E30" s="152" t="s">
        <v>697</v>
      </c>
      <c r="F30" s="35"/>
    </row>
    <row r="31" spans="1:6">
      <c r="A31" s="153">
        <v>26</v>
      </c>
      <c r="B31" s="91"/>
      <c r="C31" s="91"/>
      <c r="D31" s="91"/>
      <c r="E31" s="152" t="s">
        <v>698</v>
      </c>
      <c r="F31" s="35"/>
    </row>
    <row r="32" spans="1:6" ht="15.75" thickBot="1">
      <c r="A32" s="154">
        <v>27</v>
      </c>
      <c r="B32" s="92"/>
      <c r="C32" s="92"/>
      <c r="D32" s="92"/>
      <c r="E32" s="34" t="s">
        <v>699</v>
      </c>
      <c r="F32" s="35"/>
    </row>
    <row r="34" spans="1:6" ht="16.149999999999999" customHeight="1" thickBot="1">
      <c r="A34" s="63" t="s">
        <v>789</v>
      </c>
      <c r="B34" s="60"/>
      <c r="C34" s="60"/>
      <c r="D34" s="60"/>
    </row>
    <row r="35" spans="1:6" ht="28.15" customHeight="1" thickBot="1">
      <c r="A35" s="33" t="s">
        <v>15</v>
      </c>
      <c r="B35" s="21" t="s">
        <v>382</v>
      </c>
      <c r="C35" s="21" t="s">
        <v>383</v>
      </c>
      <c r="D35" s="21" t="s">
        <v>384</v>
      </c>
      <c r="E35" s="21" t="s">
        <v>385</v>
      </c>
      <c r="F35" s="199"/>
    </row>
    <row r="36" spans="1:6" ht="30">
      <c r="A36" s="26">
        <v>1</v>
      </c>
      <c r="B36" s="90" t="s">
        <v>749</v>
      </c>
      <c r="C36" s="90" t="s">
        <v>756</v>
      </c>
      <c r="D36" s="90" t="s">
        <v>745</v>
      </c>
      <c r="E36" s="93" t="s">
        <v>765</v>
      </c>
      <c r="F36" s="177"/>
    </row>
    <row r="37" spans="1:6">
      <c r="A37" s="27">
        <v>2</v>
      </c>
      <c r="B37" s="142" t="s">
        <v>750</v>
      </c>
      <c r="C37" s="142" t="s">
        <v>565</v>
      </c>
      <c r="D37" s="142" t="s">
        <v>746</v>
      </c>
      <c r="E37" s="93" t="s">
        <v>766</v>
      </c>
      <c r="F37" s="177"/>
    </row>
    <row r="38" spans="1:6" ht="30">
      <c r="A38" s="27">
        <v>3</v>
      </c>
      <c r="B38" s="142" t="s">
        <v>751</v>
      </c>
      <c r="C38" s="142" t="s">
        <v>757</v>
      </c>
      <c r="D38" s="142" t="s">
        <v>760</v>
      </c>
      <c r="E38" s="93" t="s">
        <v>767</v>
      </c>
      <c r="F38" s="177"/>
    </row>
    <row r="39" spans="1:6">
      <c r="A39" s="27">
        <v>4</v>
      </c>
      <c r="B39" s="142" t="s">
        <v>752</v>
      </c>
      <c r="C39" s="142" t="s">
        <v>743</v>
      </c>
      <c r="D39" s="142" t="s">
        <v>761</v>
      </c>
      <c r="E39" s="93" t="s">
        <v>768</v>
      </c>
      <c r="F39" s="177"/>
    </row>
    <row r="40" spans="1:6">
      <c r="A40" s="27">
        <v>5</v>
      </c>
      <c r="B40" s="142" t="s">
        <v>753</v>
      </c>
      <c r="C40" s="142" t="s">
        <v>758</v>
      </c>
      <c r="D40" s="142" t="s">
        <v>747</v>
      </c>
      <c r="E40" s="93" t="s">
        <v>769</v>
      </c>
      <c r="F40" s="177"/>
    </row>
    <row r="41" spans="1:6">
      <c r="A41" s="27"/>
      <c r="B41" s="142" t="s">
        <v>754</v>
      </c>
      <c r="C41" s="142" t="s">
        <v>759</v>
      </c>
      <c r="D41" s="142" t="s">
        <v>762</v>
      </c>
      <c r="E41" s="93"/>
      <c r="F41" s="177"/>
    </row>
    <row r="42" spans="1:6">
      <c r="A42" s="27">
        <v>6</v>
      </c>
      <c r="B42" s="91" t="s">
        <v>755</v>
      </c>
      <c r="C42" s="142" t="s">
        <v>744</v>
      </c>
      <c r="D42" s="142" t="s">
        <v>763</v>
      </c>
      <c r="E42" s="93"/>
      <c r="F42" s="177"/>
    </row>
    <row r="43" spans="1:6">
      <c r="A43" s="27">
        <v>7</v>
      </c>
      <c r="B43" s="2"/>
      <c r="C43" s="2"/>
      <c r="D43" s="142" t="s">
        <v>764</v>
      </c>
      <c r="E43" s="93"/>
      <c r="F43" s="177"/>
    </row>
    <row r="44" spans="1:6" ht="15.75" thickBot="1">
      <c r="A44" s="29">
        <v>8</v>
      </c>
      <c r="B44" s="92"/>
      <c r="C44" s="147"/>
      <c r="D44" s="147" t="s">
        <v>748</v>
      </c>
      <c r="E44" s="94"/>
      <c r="F44" s="177"/>
    </row>
    <row r="46" spans="1:6" ht="15" customHeight="1" thickBot="1">
      <c r="A46" s="62" t="s">
        <v>790</v>
      </c>
      <c r="B46" s="12"/>
      <c r="C46" s="12"/>
      <c r="D46" s="12"/>
    </row>
    <row r="47" spans="1:6" ht="24" customHeight="1" thickBot="1">
      <c r="A47" s="33" t="s">
        <v>15</v>
      </c>
      <c r="B47" s="21" t="s">
        <v>382</v>
      </c>
      <c r="C47" s="21" t="s">
        <v>383</v>
      </c>
      <c r="D47" s="21" t="s">
        <v>384</v>
      </c>
      <c r="E47" s="21" t="s">
        <v>385</v>
      </c>
      <c r="F47" s="199"/>
    </row>
    <row r="48" spans="1:6">
      <c r="A48" s="26">
        <v>1</v>
      </c>
      <c r="B48" s="90" t="s">
        <v>725</v>
      </c>
      <c r="C48" s="90" t="s">
        <v>724</v>
      </c>
      <c r="D48" s="90" t="s">
        <v>731</v>
      </c>
      <c r="E48" s="93" t="s">
        <v>723</v>
      </c>
      <c r="F48" s="177"/>
    </row>
    <row r="49" spans="1:6">
      <c r="A49" s="27">
        <v>2</v>
      </c>
      <c r="B49" s="142" t="s">
        <v>702</v>
      </c>
      <c r="C49" s="142" t="s">
        <v>713</v>
      </c>
      <c r="D49" s="142" t="s">
        <v>732</v>
      </c>
      <c r="E49" s="146" t="s">
        <v>704</v>
      </c>
      <c r="F49" s="177"/>
    </row>
    <row r="50" spans="1:6">
      <c r="A50" s="27">
        <v>3</v>
      </c>
      <c r="B50" s="142" t="s">
        <v>726</v>
      </c>
      <c r="C50" s="142" t="s">
        <v>727</v>
      </c>
      <c r="D50" s="142" t="s">
        <v>705</v>
      </c>
      <c r="E50" s="146" t="s">
        <v>736</v>
      </c>
      <c r="F50" s="177"/>
    </row>
    <row r="51" spans="1:6">
      <c r="A51" s="27">
        <v>4</v>
      </c>
      <c r="B51" s="142" t="s">
        <v>707</v>
      </c>
      <c r="C51" s="142" t="s">
        <v>720</v>
      </c>
      <c r="D51" s="142" t="s">
        <v>733</v>
      </c>
      <c r="E51" s="146" t="s">
        <v>737</v>
      </c>
      <c r="F51" s="177"/>
    </row>
    <row r="52" spans="1:6">
      <c r="A52" s="27">
        <v>5</v>
      </c>
      <c r="B52" s="142" t="s">
        <v>710</v>
      </c>
      <c r="C52" s="142" t="s">
        <v>728</v>
      </c>
      <c r="D52" s="142" t="s">
        <v>711</v>
      </c>
      <c r="E52" s="146" t="s">
        <v>738</v>
      </c>
      <c r="F52" s="177"/>
    </row>
    <row r="53" spans="1:6" ht="30">
      <c r="A53" s="27">
        <v>6</v>
      </c>
      <c r="B53" s="142"/>
      <c r="C53" s="142" t="s">
        <v>703</v>
      </c>
      <c r="D53" s="142" t="s">
        <v>721</v>
      </c>
      <c r="E53" s="146" t="s">
        <v>739</v>
      </c>
      <c r="F53" s="177"/>
    </row>
    <row r="54" spans="1:6">
      <c r="A54" s="27">
        <v>7</v>
      </c>
      <c r="B54" s="91"/>
      <c r="C54" s="142" t="s">
        <v>708</v>
      </c>
      <c r="D54" s="142" t="s">
        <v>722</v>
      </c>
      <c r="E54" s="146" t="s">
        <v>740</v>
      </c>
      <c r="F54" s="177"/>
    </row>
    <row r="55" spans="1:6" ht="30">
      <c r="A55" s="27">
        <v>8</v>
      </c>
      <c r="B55" s="91"/>
      <c r="C55" s="142" t="s">
        <v>729</v>
      </c>
      <c r="D55" s="142" t="s">
        <v>715</v>
      </c>
      <c r="E55" s="146" t="s">
        <v>700</v>
      </c>
      <c r="F55" s="177"/>
    </row>
    <row r="56" spans="1:6" ht="30">
      <c r="A56" s="27">
        <v>9</v>
      </c>
      <c r="B56" s="91"/>
      <c r="C56" s="142" t="s">
        <v>730</v>
      </c>
      <c r="D56" s="142" t="s">
        <v>716</v>
      </c>
      <c r="E56" s="146" t="s">
        <v>741</v>
      </c>
      <c r="F56" s="177"/>
    </row>
    <row r="57" spans="1:6">
      <c r="A57" s="27">
        <v>10</v>
      </c>
      <c r="B57" s="91"/>
      <c r="C57" s="142"/>
      <c r="D57" s="142" t="s">
        <v>734</v>
      </c>
      <c r="E57" s="146" t="s">
        <v>742</v>
      </c>
      <c r="F57" s="177"/>
    </row>
    <row r="58" spans="1:6" ht="30">
      <c r="A58" s="27">
        <v>11</v>
      </c>
      <c r="B58" s="91"/>
      <c r="C58" s="142"/>
      <c r="D58" s="142" t="s">
        <v>735</v>
      </c>
      <c r="E58" s="146" t="s">
        <v>718</v>
      </c>
      <c r="F58" s="177"/>
    </row>
    <row r="59" spans="1:6">
      <c r="A59" s="27">
        <v>12</v>
      </c>
      <c r="B59" s="91"/>
      <c r="C59" s="142"/>
      <c r="D59" s="142" t="s">
        <v>717</v>
      </c>
      <c r="E59" s="146" t="s">
        <v>701</v>
      </c>
      <c r="F59" s="177"/>
    </row>
    <row r="60" spans="1:6">
      <c r="A60" s="27">
        <v>13</v>
      </c>
      <c r="B60" s="91"/>
      <c r="C60" s="142"/>
      <c r="D60" s="142"/>
      <c r="E60" s="146" t="s">
        <v>2341</v>
      </c>
      <c r="F60" s="177"/>
    </row>
    <row r="61" spans="1:6">
      <c r="A61" s="27">
        <v>14</v>
      </c>
      <c r="B61" s="91"/>
      <c r="C61" s="142"/>
      <c r="D61" s="142"/>
      <c r="E61" s="146" t="s">
        <v>719</v>
      </c>
      <c r="F61" s="177"/>
    </row>
    <row r="62" spans="1:6">
      <c r="A62" s="27">
        <v>15</v>
      </c>
      <c r="B62" s="91"/>
      <c r="C62" s="142"/>
      <c r="D62" s="142"/>
      <c r="E62" s="146" t="s">
        <v>706</v>
      </c>
      <c r="F62" s="177"/>
    </row>
    <row r="63" spans="1:6">
      <c r="A63" s="27">
        <v>16</v>
      </c>
      <c r="B63" s="91"/>
      <c r="C63" s="142"/>
      <c r="D63" s="142"/>
      <c r="E63" s="146" t="s">
        <v>709</v>
      </c>
      <c r="F63" s="177"/>
    </row>
    <row r="64" spans="1:6">
      <c r="A64" s="27">
        <v>17</v>
      </c>
      <c r="B64" s="91"/>
      <c r="C64" s="142"/>
      <c r="D64" s="142"/>
      <c r="E64" s="146" t="s">
        <v>714</v>
      </c>
      <c r="F64" s="177"/>
    </row>
    <row r="65" spans="1:6" ht="15.75" thickBot="1">
      <c r="A65" s="29">
        <v>18</v>
      </c>
      <c r="B65" s="92"/>
      <c r="C65" s="147"/>
      <c r="D65" s="30"/>
      <c r="E65" s="148" t="s">
        <v>712</v>
      </c>
      <c r="F65" s="177"/>
    </row>
    <row r="67" spans="1:6" ht="15" customHeight="1" thickBot="1">
      <c r="A67" s="296" t="s">
        <v>791</v>
      </c>
      <c r="B67" s="296"/>
      <c r="C67" s="296"/>
      <c r="D67" s="296"/>
      <c r="E67" s="296"/>
      <c r="F67" s="88"/>
    </row>
    <row r="68" spans="1:6" ht="21.75" customHeight="1" thickBot="1">
      <c r="A68" s="135" t="s">
        <v>15</v>
      </c>
      <c r="B68" s="136" t="s">
        <v>382</v>
      </c>
      <c r="C68" s="137" t="s">
        <v>383</v>
      </c>
      <c r="D68" s="137" t="s">
        <v>384</v>
      </c>
      <c r="E68" s="119" t="s">
        <v>385</v>
      </c>
      <c r="F68" s="199"/>
    </row>
    <row r="69" spans="1:6">
      <c r="A69" s="26">
        <v>1</v>
      </c>
      <c r="B69" s="134" t="s">
        <v>587</v>
      </c>
      <c r="C69" s="122" t="s">
        <v>847</v>
      </c>
      <c r="D69" s="122" t="s">
        <v>612</v>
      </c>
      <c r="E69" s="123" t="s">
        <v>627</v>
      </c>
      <c r="F69" s="200"/>
    </row>
    <row r="70" spans="1:6">
      <c r="A70" s="27">
        <v>2</v>
      </c>
      <c r="B70" s="133" t="s">
        <v>848</v>
      </c>
      <c r="C70" s="97" t="s">
        <v>588</v>
      </c>
      <c r="D70" s="97" t="s">
        <v>591</v>
      </c>
      <c r="E70" s="138" t="s">
        <v>628</v>
      </c>
      <c r="F70" s="200"/>
    </row>
    <row r="71" spans="1:6" ht="45">
      <c r="A71" s="27">
        <v>3</v>
      </c>
      <c r="B71" s="133" t="s">
        <v>849</v>
      </c>
      <c r="C71" s="2" t="s">
        <v>599</v>
      </c>
      <c r="D71" s="97" t="s">
        <v>613</v>
      </c>
      <c r="E71" s="138" t="s">
        <v>629</v>
      </c>
      <c r="F71" s="200"/>
    </row>
    <row r="72" spans="1:6">
      <c r="A72" s="27">
        <v>4</v>
      </c>
      <c r="B72" s="133" t="s">
        <v>850</v>
      </c>
      <c r="C72" s="97" t="s">
        <v>598</v>
      </c>
      <c r="D72" s="97" t="s">
        <v>614</v>
      </c>
      <c r="E72" s="138" t="s">
        <v>630</v>
      </c>
      <c r="F72" s="200"/>
    </row>
    <row r="73" spans="1:6">
      <c r="A73" s="27">
        <v>5</v>
      </c>
      <c r="B73" s="133" t="s">
        <v>582</v>
      </c>
      <c r="C73" s="97" t="s">
        <v>600</v>
      </c>
      <c r="D73" s="97" t="s">
        <v>615</v>
      </c>
      <c r="E73" s="138" t="s">
        <v>631</v>
      </c>
      <c r="F73" s="200"/>
    </row>
    <row r="74" spans="1:6">
      <c r="A74" s="27">
        <v>6</v>
      </c>
      <c r="B74" s="133" t="s">
        <v>583</v>
      </c>
      <c r="C74" s="97" t="s">
        <v>601</v>
      </c>
      <c r="D74" s="97" t="s">
        <v>616</v>
      </c>
      <c r="E74" s="138" t="s">
        <v>597</v>
      </c>
      <c r="F74" s="200"/>
    </row>
    <row r="75" spans="1:6">
      <c r="A75" s="27">
        <v>7</v>
      </c>
      <c r="B75" s="133" t="s">
        <v>584</v>
      </c>
      <c r="C75" s="97" t="s">
        <v>603</v>
      </c>
      <c r="D75" s="97" t="s">
        <v>617</v>
      </c>
      <c r="E75" s="138" t="s">
        <v>632</v>
      </c>
      <c r="F75" s="200"/>
    </row>
    <row r="76" spans="1:6" ht="30">
      <c r="A76" s="27">
        <v>8</v>
      </c>
      <c r="B76" s="133" t="s">
        <v>585</v>
      </c>
      <c r="C76" s="124" t="s">
        <v>602</v>
      </c>
      <c r="D76" s="97" t="s">
        <v>592</v>
      </c>
      <c r="E76" s="138" t="s">
        <v>633</v>
      </c>
      <c r="F76" s="200"/>
    </row>
    <row r="77" spans="1:6">
      <c r="A77" s="27">
        <v>9</v>
      </c>
      <c r="B77" s="133" t="s">
        <v>586</v>
      </c>
      <c r="C77" s="124" t="s">
        <v>589</v>
      </c>
      <c r="D77" s="97" t="s">
        <v>618</v>
      </c>
      <c r="E77" s="138" t="s">
        <v>634</v>
      </c>
      <c r="F77" s="200"/>
    </row>
    <row r="78" spans="1:6">
      <c r="A78" s="27">
        <v>10</v>
      </c>
      <c r="B78" s="133"/>
      <c r="C78" s="124" t="s">
        <v>590</v>
      </c>
      <c r="D78" s="97" t="s">
        <v>619</v>
      </c>
      <c r="E78" s="138" t="s">
        <v>635</v>
      </c>
      <c r="F78" s="200"/>
    </row>
    <row r="79" spans="1:6">
      <c r="A79" s="27">
        <v>11</v>
      </c>
      <c r="B79" s="133"/>
      <c r="C79" s="124" t="s">
        <v>604</v>
      </c>
      <c r="D79" s="97" t="s">
        <v>620</v>
      </c>
      <c r="E79" s="138" t="s">
        <v>636</v>
      </c>
      <c r="F79" s="200"/>
    </row>
    <row r="80" spans="1:6">
      <c r="A80" s="27">
        <v>12</v>
      </c>
      <c r="B80" s="133"/>
      <c r="C80" s="124" t="s">
        <v>605</v>
      </c>
      <c r="D80" s="97" t="s">
        <v>621</v>
      </c>
      <c r="E80" s="138" t="s">
        <v>637</v>
      </c>
      <c r="F80" s="200"/>
    </row>
    <row r="81" spans="1:6">
      <c r="A81" s="27">
        <v>13</v>
      </c>
      <c r="B81" s="133"/>
      <c r="C81" s="124" t="s">
        <v>606</v>
      </c>
      <c r="D81" s="97" t="s">
        <v>622</v>
      </c>
      <c r="E81" s="138" t="s">
        <v>638</v>
      </c>
      <c r="F81" s="200"/>
    </row>
    <row r="82" spans="1:6">
      <c r="A82" s="27">
        <v>14</v>
      </c>
      <c r="B82" s="133"/>
      <c r="C82" s="124" t="s">
        <v>607</v>
      </c>
      <c r="D82" s="124" t="s">
        <v>593</v>
      </c>
      <c r="E82" s="138" t="s">
        <v>639</v>
      </c>
      <c r="F82" s="200"/>
    </row>
    <row r="83" spans="1:6" ht="30">
      <c r="A83" s="27">
        <v>15</v>
      </c>
      <c r="B83" s="133"/>
      <c r="C83" s="124" t="s">
        <v>608</v>
      </c>
      <c r="D83" s="124" t="s">
        <v>623</v>
      </c>
      <c r="E83" s="138" t="s">
        <v>640</v>
      </c>
      <c r="F83" s="200"/>
    </row>
    <row r="84" spans="1:6">
      <c r="A84" s="27">
        <v>16</v>
      </c>
      <c r="B84" s="133"/>
      <c r="C84" s="124" t="s">
        <v>609</v>
      </c>
      <c r="D84" s="97" t="s">
        <v>624</v>
      </c>
      <c r="E84" s="138"/>
      <c r="F84" s="200"/>
    </row>
    <row r="85" spans="1:6">
      <c r="A85" s="27">
        <v>17</v>
      </c>
      <c r="B85" s="133"/>
      <c r="C85" s="124" t="s">
        <v>610</v>
      </c>
      <c r="D85" s="124" t="s">
        <v>594</v>
      </c>
      <c r="E85" s="138"/>
      <c r="F85" s="200"/>
    </row>
    <row r="86" spans="1:6">
      <c r="A86" s="27">
        <v>18</v>
      </c>
      <c r="B86" s="133"/>
      <c r="C86" s="124" t="s">
        <v>611</v>
      </c>
      <c r="D86" s="124" t="s">
        <v>595</v>
      </c>
      <c r="E86" s="125"/>
      <c r="F86" s="37"/>
    </row>
    <row r="87" spans="1:6">
      <c r="A87" s="27">
        <v>19</v>
      </c>
      <c r="B87" s="133"/>
      <c r="C87" s="124"/>
      <c r="D87" s="124" t="s">
        <v>625</v>
      </c>
      <c r="E87" s="125"/>
      <c r="F87" s="37"/>
    </row>
    <row r="88" spans="1:6">
      <c r="A88" s="27">
        <v>20</v>
      </c>
      <c r="B88" s="133"/>
      <c r="C88" s="2"/>
      <c r="D88" s="124" t="s">
        <v>626</v>
      </c>
      <c r="E88" s="125"/>
      <c r="F88" s="37"/>
    </row>
    <row r="89" spans="1:6">
      <c r="A89" s="189">
        <v>21</v>
      </c>
      <c r="B89" s="292"/>
      <c r="C89" s="293"/>
      <c r="D89" s="124" t="s">
        <v>596</v>
      </c>
      <c r="E89" s="294"/>
      <c r="F89" s="37"/>
    </row>
    <row r="90" spans="1:6" ht="15.75" thickBot="1">
      <c r="A90" s="29">
        <v>21</v>
      </c>
      <c r="B90" s="139"/>
      <c r="C90" s="30"/>
      <c r="D90" s="295" t="s">
        <v>2347</v>
      </c>
      <c r="E90" s="126"/>
      <c r="F90" s="37"/>
    </row>
    <row r="92" spans="1:6" ht="15" customHeight="1" thickBot="1">
      <c r="A92" s="62" t="s">
        <v>792</v>
      </c>
      <c r="B92" s="12"/>
      <c r="C92" s="12"/>
      <c r="D92" s="12"/>
    </row>
    <row r="93" spans="1:6" ht="20.25" customHeight="1" thickBot="1">
      <c r="A93" s="33" t="s">
        <v>15</v>
      </c>
      <c r="B93" s="21" t="s">
        <v>382</v>
      </c>
      <c r="C93" s="21" t="s">
        <v>383</v>
      </c>
      <c r="D93" s="21" t="s">
        <v>384</v>
      </c>
      <c r="E93" s="21" t="s">
        <v>385</v>
      </c>
      <c r="F93" s="199"/>
    </row>
    <row r="94" spans="1:6">
      <c r="A94" s="26">
        <v>1</v>
      </c>
      <c r="B94" s="90"/>
      <c r="C94" s="90" t="s">
        <v>567</v>
      </c>
      <c r="D94" s="90" t="s">
        <v>851</v>
      </c>
      <c r="E94" s="93" t="s">
        <v>578</v>
      </c>
      <c r="F94" s="177"/>
    </row>
    <row r="95" spans="1:6">
      <c r="A95" s="27">
        <v>2</v>
      </c>
      <c r="B95" s="90"/>
      <c r="C95" s="90" t="s">
        <v>568</v>
      </c>
      <c r="D95" s="90" t="s">
        <v>566</v>
      </c>
      <c r="E95" s="93" t="s">
        <v>579</v>
      </c>
      <c r="F95" s="177"/>
    </row>
    <row r="96" spans="1:6">
      <c r="A96" s="27">
        <v>3</v>
      </c>
      <c r="B96" s="90"/>
      <c r="C96" s="90" t="s">
        <v>569</v>
      </c>
      <c r="D96" s="90"/>
      <c r="E96" s="93" t="s">
        <v>580</v>
      </c>
      <c r="F96" s="177"/>
    </row>
    <row r="97" spans="1:6">
      <c r="A97" s="27">
        <v>4</v>
      </c>
      <c r="B97" s="90"/>
      <c r="C97" s="90" t="s">
        <v>570</v>
      </c>
      <c r="D97" s="90"/>
      <c r="E97" s="93" t="s">
        <v>581</v>
      </c>
      <c r="F97" s="177"/>
    </row>
    <row r="98" spans="1:6">
      <c r="A98" s="26">
        <v>5</v>
      </c>
      <c r="B98" s="131"/>
      <c r="C98" s="131" t="s">
        <v>571</v>
      </c>
      <c r="D98" s="131"/>
      <c r="E98" s="132"/>
      <c r="F98" s="177"/>
    </row>
    <row r="99" spans="1:6">
      <c r="A99" s="27">
        <v>6</v>
      </c>
      <c r="B99" s="142"/>
      <c r="C99" s="142" t="s">
        <v>572</v>
      </c>
      <c r="D99" s="142"/>
      <c r="E99" s="146"/>
      <c r="F99" s="177"/>
    </row>
    <row r="100" spans="1:6">
      <c r="A100" s="27">
        <v>7</v>
      </c>
      <c r="B100" s="142"/>
      <c r="C100" s="142" t="s">
        <v>573</v>
      </c>
      <c r="D100" s="142"/>
      <c r="E100" s="146"/>
      <c r="F100" s="177"/>
    </row>
    <row r="101" spans="1:6">
      <c r="A101" s="27">
        <v>8</v>
      </c>
      <c r="B101" s="142"/>
      <c r="C101" s="142" t="s">
        <v>574</v>
      </c>
      <c r="D101" s="142"/>
      <c r="E101" s="146"/>
      <c r="F101" s="177"/>
    </row>
    <row r="102" spans="1:6">
      <c r="A102" s="26">
        <v>9</v>
      </c>
      <c r="B102" s="142"/>
      <c r="C102" s="142" t="s">
        <v>575</v>
      </c>
      <c r="D102" s="142"/>
      <c r="E102" s="146"/>
      <c r="F102" s="177"/>
    </row>
    <row r="103" spans="1:6">
      <c r="A103" s="27">
        <v>10</v>
      </c>
      <c r="B103" s="142"/>
      <c r="C103" s="142" t="s">
        <v>576</v>
      </c>
      <c r="D103" s="142"/>
      <c r="E103" s="146"/>
      <c r="F103" s="177"/>
    </row>
    <row r="104" spans="1:6" ht="15.75" thickBot="1">
      <c r="A104" s="29">
        <v>11</v>
      </c>
      <c r="B104" s="147"/>
      <c r="C104" s="147" t="s">
        <v>577</v>
      </c>
      <c r="D104" s="147"/>
      <c r="E104" s="148"/>
      <c r="F104" s="177"/>
    </row>
    <row r="105" spans="1:6">
      <c r="B105" s="177"/>
      <c r="C105" s="177"/>
      <c r="D105" s="177"/>
      <c r="E105" s="177"/>
      <c r="F105" s="177"/>
    </row>
    <row r="106" spans="1:6" ht="15" customHeight="1" thickBot="1">
      <c r="A106" s="67" t="s">
        <v>793</v>
      </c>
    </row>
    <row r="107" spans="1:6" ht="25.9" customHeight="1" thickBot="1">
      <c r="A107" s="128" t="s">
        <v>15</v>
      </c>
      <c r="B107" s="129" t="s">
        <v>511</v>
      </c>
      <c r="C107" s="129" t="s">
        <v>512</v>
      </c>
      <c r="D107" s="129" t="s">
        <v>513</v>
      </c>
      <c r="E107" s="130" t="s">
        <v>514</v>
      </c>
      <c r="F107" s="201"/>
    </row>
    <row r="108" spans="1:6" ht="30">
      <c r="A108" s="47">
        <v>1</v>
      </c>
      <c r="B108" s="127" t="s">
        <v>515</v>
      </c>
      <c r="C108" s="127" t="s">
        <v>516</v>
      </c>
      <c r="D108" s="127" t="s">
        <v>517</v>
      </c>
      <c r="E108" s="155" t="s">
        <v>518</v>
      </c>
      <c r="F108" s="197"/>
    </row>
    <row r="109" spans="1:6" ht="30">
      <c r="A109" s="48">
        <v>2</v>
      </c>
      <c r="B109" s="143" t="s">
        <v>519</v>
      </c>
      <c r="C109" s="143" t="s">
        <v>520</v>
      </c>
      <c r="D109" s="143" t="s">
        <v>521</v>
      </c>
      <c r="E109" s="149" t="s">
        <v>522</v>
      </c>
      <c r="F109" s="197"/>
    </row>
    <row r="110" spans="1:6">
      <c r="A110" s="48">
        <v>3</v>
      </c>
      <c r="B110" s="143" t="s">
        <v>523</v>
      </c>
      <c r="C110" s="143" t="s">
        <v>770</v>
      </c>
      <c r="D110" s="143" t="s">
        <v>524</v>
      </c>
      <c r="E110" s="149" t="s">
        <v>525</v>
      </c>
      <c r="F110" s="197"/>
    </row>
    <row r="111" spans="1:6" ht="30">
      <c r="A111" s="48">
        <v>4</v>
      </c>
      <c r="B111" s="143"/>
      <c r="C111" s="143" t="s">
        <v>526</v>
      </c>
      <c r="D111" s="143" t="s">
        <v>527</v>
      </c>
      <c r="E111" s="149" t="s">
        <v>528</v>
      </c>
      <c r="F111" s="197"/>
    </row>
    <row r="112" spans="1:6" ht="30">
      <c r="A112" s="48">
        <v>5</v>
      </c>
      <c r="B112" s="143"/>
      <c r="C112" s="143" t="s">
        <v>529</v>
      </c>
      <c r="D112" s="143" t="s">
        <v>530</v>
      </c>
      <c r="E112" s="149" t="s">
        <v>531</v>
      </c>
      <c r="F112" s="197"/>
    </row>
    <row r="113" spans="1:6" ht="30">
      <c r="A113" s="48">
        <v>6</v>
      </c>
      <c r="B113" s="143"/>
      <c r="C113" s="143" t="s">
        <v>529</v>
      </c>
      <c r="D113" s="143" t="s">
        <v>532</v>
      </c>
      <c r="E113" s="149" t="s">
        <v>533</v>
      </c>
      <c r="F113" s="197"/>
    </row>
    <row r="114" spans="1:6">
      <c r="A114" s="48">
        <v>7</v>
      </c>
      <c r="B114" s="143"/>
      <c r="C114" s="143" t="s">
        <v>534</v>
      </c>
      <c r="D114" s="143" t="s">
        <v>535</v>
      </c>
      <c r="E114" s="149" t="s">
        <v>536</v>
      </c>
      <c r="F114" s="197"/>
    </row>
    <row r="115" spans="1:6">
      <c r="A115" s="48">
        <v>8</v>
      </c>
      <c r="B115" s="145"/>
      <c r="C115" s="143" t="s">
        <v>537</v>
      </c>
      <c r="D115" s="143" t="s">
        <v>538</v>
      </c>
      <c r="E115" s="149" t="s">
        <v>539</v>
      </c>
      <c r="F115" s="197"/>
    </row>
    <row r="116" spans="1:6" ht="15" customHeight="1">
      <c r="A116" s="48">
        <v>9</v>
      </c>
      <c r="B116" s="145"/>
      <c r="C116" s="143"/>
      <c r="D116" s="143" t="s">
        <v>540</v>
      </c>
      <c r="E116" s="149" t="s">
        <v>541</v>
      </c>
      <c r="F116" s="197"/>
    </row>
    <row r="117" spans="1:6" ht="29.45" customHeight="1">
      <c r="A117" s="48">
        <v>10</v>
      </c>
      <c r="B117" s="145"/>
      <c r="C117" s="143"/>
      <c r="D117" s="143" t="s">
        <v>542</v>
      </c>
      <c r="E117" s="149" t="s">
        <v>543</v>
      </c>
      <c r="F117" s="197"/>
    </row>
    <row r="118" spans="1:6">
      <c r="A118" s="48">
        <v>11</v>
      </c>
      <c r="B118" s="142"/>
      <c r="C118" s="143"/>
      <c r="D118" s="143" t="s">
        <v>544</v>
      </c>
      <c r="E118" s="149" t="s">
        <v>545</v>
      </c>
      <c r="F118" s="197"/>
    </row>
    <row r="119" spans="1:6" ht="30">
      <c r="A119" s="48">
        <v>12</v>
      </c>
      <c r="B119" s="142"/>
      <c r="C119" s="143"/>
      <c r="D119" s="143" t="s">
        <v>546</v>
      </c>
      <c r="E119" s="149" t="s">
        <v>547</v>
      </c>
      <c r="F119" s="197"/>
    </row>
    <row r="120" spans="1:6" ht="30">
      <c r="A120" s="48">
        <v>13</v>
      </c>
      <c r="B120" s="142"/>
      <c r="C120" s="143"/>
      <c r="D120" s="143" t="s">
        <v>548</v>
      </c>
      <c r="E120" s="149" t="s">
        <v>549</v>
      </c>
      <c r="F120" s="197"/>
    </row>
    <row r="121" spans="1:6">
      <c r="A121" s="48">
        <v>14</v>
      </c>
      <c r="B121" s="142"/>
      <c r="C121" s="143"/>
      <c r="D121" s="143" t="s">
        <v>550</v>
      </c>
      <c r="E121" s="149" t="s">
        <v>551</v>
      </c>
      <c r="F121" s="197"/>
    </row>
    <row r="122" spans="1:6">
      <c r="A122" s="48">
        <v>15</v>
      </c>
      <c r="B122" s="142"/>
      <c r="C122" s="22"/>
      <c r="D122" s="143" t="s">
        <v>552</v>
      </c>
      <c r="E122" s="149" t="s">
        <v>553</v>
      </c>
      <c r="F122" s="197"/>
    </row>
    <row r="123" spans="1:6">
      <c r="A123" s="48">
        <v>16</v>
      </c>
      <c r="B123" s="142"/>
      <c r="C123" s="143"/>
      <c r="D123" s="143"/>
      <c r="E123" s="149" t="s">
        <v>554</v>
      </c>
      <c r="F123" s="197"/>
    </row>
    <row r="124" spans="1:6">
      <c r="A124" s="48">
        <v>17</v>
      </c>
      <c r="B124" s="142"/>
      <c r="C124" s="143"/>
      <c r="D124" s="143"/>
      <c r="E124" s="146" t="s">
        <v>555</v>
      </c>
      <c r="F124" s="177"/>
    </row>
    <row r="125" spans="1:6">
      <c r="A125" s="48">
        <v>18</v>
      </c>
      <c r="B125" s="142"/>
      <c r="C125" s="143"/>
      <c r="D125" s="143"/>
      <c r="E125" s="146" t="s">
        <v>556</v>
      </c>
      <c r="F125" s="177"/>
    </row>
    <row r="126" spans="1:6">
      <c r="A126" s="48">
        <v>19</v>
      </c>
      <c r="B126" s="142"/>
      <c r="C126" s="142"/>
      <c r="D126" s="143"/>
      <c r="E126" s="146" t="s">
        <v>557</v>
      </c>
      <c r="F126" s="177"/>
    </row>
    <row r="127" spans="1:6" ht="30">
      <c r="A127" s="48">
        <v>20</v>
      </c>
      <c r="B127" s="142"/>
      <c r="C127" s="142"/>
      <c r="D127" s="143"/>
      <c r="E127" s="146" t="s">
        <v>558</v>
      </c>
      <c r="F127" s="177"/>
    </row>
    <row r="128" spans="1:6" ht="45">
      <c r="A128" s="48">
        <v>21</v>
      </c>
      <c r="B128" s="2"/>
      <c r="C128" s="2"/>
      <c r="D128" s="2"/>
      <c r="E128" s="152" t="s">
        <v>559</v>
      </c>
      <c r="F128" s="35"/>
    </row>
    <row r="129" spans="1:6">
      <c r="A129" s="48">
        <v>22</v>
      </c>
      <c r="B129" s="2"/>
      <c r="C129" s="2"/>
      <c r="D129" s="2"/>
      <c r="E129" s="150" t="s">
        <v>560</v>
      </c>
    </row>
    <row r="130" spans="1:6" ht="30">
      <c r="A130" s="48">
        <v>23</v>
      </c>
      <c r="B130" s="2"/>
      <c r="C130" s="2"/>
      <c r="D130" s="2"/>
      <c r="E130" s="152" t="s">
        <v>561</v>
      </c>
      <c r="F130" s="35"/>
    </row>
    <row r="131" spans="1:6">
      <c r="A131" s="48">
        <v>24</v>
      </c>
      <c r="B131" s="2"/>
      <c r="C131" s="2"/>
      <c r="D131" s="2"/>
      <c r="E131" s="150" t="s">
        <v>562</v>
      </c>
    </row>
    <row r="132" spans="1:6">
      <c r="A132" s="365"/>
      <c r="B132" s="293"/>
      <c r="C132" s="293"/>
      <c r="D132" s="293"/>
      <c r="E132" s="366" t="s">
        <v>563</v>
      </c>
    </row>
    <row r="133" spans="1:6" ht="15.75" thickBot="1">
      <c r="A133" s="49">
        <v>25</v>
      </c>
      <c r="B133" s="30"/>
      <c r="C133" s="30"/>
      <c r="D133" s="30"/>
      <c r="E133" s="151" t="s">
        <v>2348</v>
      </c>
    </row>
    <row r="135" spans="1:6" ht="15.75" thickBot="1">
      <c r="A135" s="89" t="s">
        <v>794</v>
      </c>
      <c r="B135" s="67"/>
      <c r="C135" s="67"/>
      <c r="D135" s="67"/>
    </row>
    <row r="136" spans="1:6" ht="15.75" thickBot="1">
      <c r="A136" s="33" t="s">
        <v>15</v>
      </c>
      <c r="B136" s="21" t="s">
        <v>382</v>
      </c>
      <c r="C136" s="21" t="s">
        <v>383</v>
      </c>
      <c r="D136" s="21" t="s">
        <v>384</v>
      </c>
      <c r="E136" s="21" t="s">
        <v>385</v>
      </c>
      <c r="F136" s="199"/>
    </row>
    <row r="137" spans="1:6" ht="30">
      <c r="A137" s="26">
        <v>1</v>
      </c>
      <c r="B137" s="90" t="s">
        <v>564</v>
      </c>
      <c r="C137" s="90" t="s">
        <v>852</v>
      </c>
      <c r="D137" s="90" t="s">
        <v>853</v>
      </c>
      <c r="E137" s="93" t="s">
        <v>854</v>
      </c>
      <c r="F137" s="177"/>
    </row>
    <row r="138" spans="1:6">
      <c r="A138" s="27">
        <v>2</v>
      </c>
      <c r="B138" s="90"/>
      <c r="C138" s="90" t="s">
        <v>565</v>
      </c>
      <c r="D138" s="90" t="s">
        <v>855</v>
      </c>
      <c r="E138" s="93" t="s">
        <v>856</v>
      </c>
      <c r="F138" s="177"/>
    </row>
    <row r="139" spans="1:6">
      <c r="A139" s="27">
        <v>3</v>
      </c>
      <c r="B139" s="90"/>
      <c r="C139" s="90" t="s">
        <v>869</v>
      </c>
      <c r="D139" s="90" t="s">
        <v>857</v>
      </c>
      <c r="E139" s="93" t="s">
        <v>858</v>
      </c>
      <c r="F139" s="177"/>
    </row>
    <row r="140" spans="1:6">
      <c r="A140" s="27">
        <v>4</v>
      </c>
      <c r="B140" s="90"/>
      <c r="C140" s="90" t="s">
        <v>859</v>
      </c>
      <c r="D140" s="90" t="s">
        <v>860</v>
      </c>
      <c r="E140" s="93" t="s">
        <v>861</v>
      </c>
      <c r="F140" s="177"/>
    </row>
    <row r="141" spans="1:6" ht="30">
      <c r="A141" s="27">
        <v>5</v>
      </c>
      <c r="B141" s="90"/>
      <c r="C141" s="90" t="s">
        <v>862</v>
      </c>
      <c r="D141" s="90" t="s">
        <v>863</v>
      </c>
      <c r="E141" s="93" t="s">
        <v>864</v>
      </c>
      <c r="F141" s="177"/>
    </row>
    <row r="142" spans="1:6" ht="30">
      <c r="A142" s="27">
        <v>6</v>
      </c>
      <c r="B142" s="90"/>
      <c r="C142" s="90" t="s">
        <v>865</v>
      </c>
      <c r="D142" s="90" t="s">
        <v>866</v>
      </c>
      <c r="E142" s="93"/>
      <c r="F142" s="177"/>
    </row>
    <row r="143" spans="1:6">
      <c r="A143" s="189">
        <v>7</v>
      </c>
      <c r="B143" s="131"/>
      <c r="C143" s="142" t="s">
        <v>867</v>
      </c>
      <c r="D143" s="142" t="s">
        <v>868</v>
      </c>
      <c r="E143" s="132"/>
      <c r="F143" s="177"/>
    </row>
    <row r="144" spans="1:6" ht="15.75" thickBot="1">
      <c r="A144" s="29">
        <v>8</v>
      </c>
      <c r="B144" s="92"/>
      <c r="C144" s="95" t="s">
        <v>2335</v>
      </c>
      <c r="D144" s="95" t="s">
        <v>2336</v>
      </c>
      <c r="E144" s="94"/>
      <c r="F144" s="177"/>
    </row>
    <row r="145" spans="1:7">
      <c r="B145" s="37"/>
      <c r="C145" s="37"/>
      <c r="D145" s="37"/>
      <c r="E145" s="37"/>
      <c r="F145" s="37"/>
    </row>
    <row r="146" spans="1:7" ht="15.75" thickBot="1">
      <c r="A146" s="62" t="s">
        <v>1149</v>
      </c>
      <c r="B146" s="12"/>
      <c r="C146" s="12"/>
      <c r="D146" s="12"/>
    </row>
    <row r="147" spans="1:7" ht="15.75" thickBot="1">
      <c r="A147" s="33" t="s">
        <v>15</v>
      </c>
      <c r="B147" s="21" t="s">
        <v>382</v>
      </c>
      <c r="C147" s="21" t="s">
        <v>383</v>
      </c>
      <c r="D147" s="21" t="s">
        <v>384</v>
      </c>
      <c r="E147" s="21" t="s">
        <v>1178</v>
      </c>
      <c r="F147" s="21" t="s">
        <v>1177</v>
      </c>
      <c r="G147" s="21" t="s">
        <v>1179</v>
      </c>
    </row>
    <row r="148" spans="1:7" ht="45">
      <c r="A148" s="26">
        <v>1</v>
      </c>
      <c r="B148" s="90" t="s">
        <v>1150</v>
      </c>
      <c r="C148" s="90" t="s">
        <v>1154</v>
      </c>
      <c r="D148" s="90" t="s">
        <v>1165</v>
      </c>
      <c r="E148" s="93" t="s">
        <v>1180</v>
      </c>
      <c r="F148" s="93" t="s">
        <v>1198</v>
      </c>
      <c r="G148" s="93" t="s">
        <v>1218</v>
      </c>
    </row>
    <row r="149" spans="1:7" ht="30">
      <c r="A149" s="27">
        <v>2</v>
      </c>
      <c r="B149" s="142" t="s">
        <v>1151</v>
      </c>
      <c r="C149" s="142" t="s">
        <v>1155</v>
      </c>
      <c r="D149" s="142" t="s">
        <v>1166</v>
      </c>
      <c r="E149" s="142" t="s">
        <v>1181</v>
      </c>
      <c r="F149" s="142" t="s">
        <v>1220</v>
      </c>
      <c r="G149" s="146" t="s">
        <v>1219</v>
      </c>
    </row>
    <row r="150" spans="1:7" ht="45">
      <c r="A150" s="27">
        <v>3</v>
      </c>
      <c r="B150" s="142" t="s">
        <v>1152</v>
      </c>
      <c r="C150" s="142" t="s">
        <v>1156</v>
      </c>
      <c r="D150" s="142" t="s">
        <v>1167</v>
      </c>
      <c r="E150" s="142" t="s">
        <v>1182</v>
      </c>
      <c r="F150" s="142" t="s">
        <v>1199</v>
      </c>
      <c r="G150" s="146" t="s">
        <v>1221</v>
      </c>
    </row>
    <row r="151" spans="1:7" ht="45">
      <c r="A151" s="27">
        <v>4</v>
      </c>
      <c r="B151" s="142" t="s">
        <v>1153</v>
      </c>
      <c r="C151" s="142" t="s">
        <v>1157</v>
      </c>
      <c r="D151" s="142" t="s">
        <v>1168</v>
      </c>
      <c r="E151" s="142" t="s">
        <v>1183</v>
      </c>
      <c r="F151" s="142" t="s">
        <v>1207</v>
      </c>
      <c r="G151" s="146" t="s">
        <v>1223</v>
      </c>
    </row>
    <row r="152" spans="1:7" ht="30">
      <c r="A152" s="27">
        <v>5</v>
      </c>
      <c r="B152" s="142"/>
      <c r="C152" s="142" t="s">
        <v>1158</v>
      </c>
      <c r="D152" s="142" t="s">
        <v>1169</v>
      </c>
      <c r="E152" s="142" t="s">
        <v>1184</v>
      </c>
      <c r="F152" s="142" t="s">
        <v>1208</v>
      </c>
      <c r="G152" s="146" t="s">
        <v>1222</v>
      </c>
    </row>
    <row r="153" spans="1:7">
      <c r="A153" s="27">
        <v>6</v>
      </c>
      <c r="B153" s="142"/>
      <c r="C153" s="142" t="s">
        <v>1159</v>
      </c>
      <c r="D153" s="142" t="s">
        <v>1170</v>
      </c>
      <c r="E153" s="142" t="s">
        <v>1185</v>
      </c>
      <c r="F153" s="142" t="s">
        <v>1209</v>
      </c>
      <c r="G153" s="146" t="s">
        <v>1224</v>
      </c>
    </row>
    <row r="154" spans="1:7" ht="30">
      <c r="A154" s="27">
        <v>7</v>
      </c>
      <c r="B154" s="142"/>
      <c r="C154" s="142" t="s">
        <v>1160</v>
      </c>
      <c r="D154" s="142" t="s">
        <v>1171</v>
      </c>
      <c r="E154" s="142" t="s">
        <v>1186</v>
      </c>
      <c r="F154" s="142" t="s">
        <v>1210</v>
      </c>
      <c r="G154" s="146" t="s">
        <v>1225</v>
      </c>
    </row>
    <row r="155" spans="1:7" ht="30">
      <c r="A155" s="27">
        <v>8</v>
      </c>
      <c r="B155" s="142"/>
      <c r="C155" s="142" t="s">
        <v>1161</v>
      </c>
      <c r="D155" s="142" t="s">
        <v>1172</v>
      </c>
      <c r="E155" s="142" t="s">
        <v>1187</v>
      </c>
      <c r="F155" s="142" t="s">
        <v>1211</v>
      </c>
      <c r="G155" s="146" t="s">
        <v>1226</v>
      </c>
    </row>
    <row r="156" spans="1:7" ht="30">
      <c r="A156" s="27">
        <v>9</v>
      </c>
      <c r="B156" s="142"/>
      <c r="C156" s="142" t="s">
        <v>1162</v>
      </c>
      <c r="D156" s="142" t="s">
        <v>1173</v>
      </c>
      <c r="E156" s="142" t="s">
        <v>1188</v>
      </c>
      <c r="F156" s="142" t="s">
        <v>1212</v>
      </c>
      <c r="G156" s="146" t="s">
        <v>1227</v>
      </c>
    </row>
    <row r="157" spans="1:7" ht="45">
      <c r="A157" s="27">
        <v>10</v>
      </c>
      <c r="B157" s="142"/>
      <c r="C157" s="142" t="s">
        <v>1163</v>
      </c>
      <c r="D157" s="142" t="s">
        <v>1174</v>
      </c>
      <c r="E157" s="142" t="s">
        <v>1189</v>
      </c>
      <c r="F157" s="142" t="s">
        <v>1213</v>
      </c>
      <c r="G157" s="146" t="s">
        <v>1228</v>
      </c>
    </row>
    <row r="158" spans="1:7">
      <c r="A158" s="27">
        <v>11</v>
      </c>
      <c r="B158" s="142"/>
      <c r="C158" s="142" t="s">
        <v>1164</v>
      </c>
      <c r="D158" s="142" t="s">
        <v>1175</v>
      </c>
      <c r="E158" s="142" t="s">
        <v>1190</v>
      </c>
      <c r="F158" s="142" t="s">
        <v>1214</v>
      </c>
      <c r="G158" s="146" t="s">
        <v>1229</v>
      </c>
    </row>
    <row r="159" spans="1:7" ht="45">
      <c r="A159" s="27">
        <v>12</v>
      </c>
      <c r="B159" s="142"/>
      <c r="C159" s="142"/>
      <c r="D159" s="142" t="s">
        <v>1176</v>
      </c>
      <c r="E159" s="142" t="s">
        <v>1191</v>
      </c>
      <c r="F159" s="142" t="s">
        <v>1215</v>
      </c>
      <c r="G159" s="146" t="s">
        <v>1230</v>
      </c>
    </row>
    <row r="160" spans="1:7" ht="30">
      <c r="A160" s="27">
        <v>13</v>
      </c>
      <c r="B160" s="142"/>
      <c r="C160" s="142"/>
      <c r="D160" s="142"/>
      <c r="E160" s="142" t="s">
        <v>1192</v>
      </c>
      <c r="F160" s="142" t="s">
        <v>1216</v>
      </c>
      <c r="G160" s="146" t="s">
        <v>1231</v>
      </c>
    </row>
    <row r="161" spans="1:7" ht="30">
      <c r="A161" s="27">
        <v>14</v>
      </c>
      <c r="B161" s="142"/>
      <c r="C161" s="142"/>
      <c r="D161" s="142"/>
      <c r="E161" s="142" t="s">
        <v>1193</v>
      </c>
      <c r="F161" s="142" t="s">
        <v>1217</v>
      </c>
      <c r="G161" s="146" t="s">
        <v>1232</v>
      </c>
    </row>
    <row r="162" spans="1:7">
      <c r="A162" s="27">
        <v>15</v>
      </c>
      <c r="B162" s="142"/>
      <c r="C162" s="142"/>
      <c r="D162" s="142"/>
      <c r="E162" s="142" t="s">
        <v>1194</v>
      </c>
      <c r="F162" s="142"/>
      <c r="G162" s="146" t="s">
        <v>1233</v>
      </c>
    </row>
    <row r="163" spans="1:7">
      <c r="A163" s="27">
        <v>16</v>
      </c>
      <c r="B163" s="142"/>
      <c r="C163" s="142"/>
      <c r="D163" s="142"/>
      <c r="E163" s="142" t="s">
        <v>1195</v>
      </c>
      <c r="F163" s="142"/>
      <c r="G163" s="146" t="s">
        <v>1234</v>
      </c>
    </row>
    <row r="164" spans="1:7" ht="30">
      <c r="A164" s="27">
        <v>17</v>
      </c>
      <c r="B164" s="142"/>
      <c r="C164" s="142"/>
      <c r="D164" s="142"/>
      <c r="E164" s="142" t="s">
        <v>1196</v>
      </c>
      <c r="F164" s="142"/>
      <c r="G164" s="146" t="s">
        <v>1235</v>
      </c>
    </row>
    <row r="165" spans="1:7">
      <c r="A165" s="27">
        <v>18</v>
      </c>
      <c r="B165" s="142"/>
      <c r="C165" s="142"/>
      <c r="D165" s="142"/>
      <c r="E165" s="142" t="s">
        <v>1197</v>
      </c>
      <c r="F165" s="142"/>
      <c r="G165" s="146" t="s">
        <v>1236</v>
      </c>
    </row>
    <row r="166" spans="1:7">
      <c r="A166" s="27">
        <v>19</v>
      </c>
      <c r="B166" s="142"/>
      <c r="C166" s="142"/>
      <c r="D166" s="142"/>
      <c r="E166" s="142"/>
      <c r="F166" s="142"/>
      <c r="G166" s="146" t="s">
        <v>1237</v>
      </c>
    </row>
    <row r="167" spans="1:7">
      <c r="A167" s="27">
        <v>20</v>
      </c>
      <c r="B167" s="142"/>
      <c r="C167" s="142"/>
      <c r="D167" s="142"/>
      <c r="E167" s="142"/>
      <c r="F167" s="142"/>
      <c r="G167" s="146" t="s">
        <v>1238</v>
      </c>
    </row>
    <row r="168" spans="1:7">
      <c r="A168" s="27">
        <v>21</v>
      </c>
      <c r="B168" s="142"/>
      <c r="C168" s="142"/>
      <c r="D168" s="142"/>
      <c r="E168" s="142"/>
      <c r="F168" s="142"/>
      <c r="G168" s="146" t="s">
        <v>1239</v>
      </c>
    </row>
    <row r="169" spans="1:7" ht="30">
      <c r="A169" s="27">
        <v>22</v>
      </c>
      <c r="B169" s="142"/>
      <c r="C169" s="142"/>
      <c r="D169" s="142"/>
      <c r="E169" s="142"/>
      <c r="F169" s="142"/>
      <c r="G169" s="146" t="s">
        <v>1240</v>
      </c>
    </row>
    <row r="170" spans="1:7">
      <c r="A170" s="27">
        <v>23</v>
      </c>
      <c r="B170" s="142"/>
      <c r="C170" s="142"/>
      <c r="D170" s="142"/>
      <c r="E170" s="142"/>
      <c r="F170" s="142"/>
      <c r="G170" s="146" t="s">
        <v>1241</v>
      </c>
    </row>
    <row r="171" spans="1:7">
      <c r="A171" s="27">
        <v>24</v>
      </c>
      <c r="B171" s="142"/>
      <c r="C171" s="142"/>
      <c r="D171" s="142"/>
      <c r="E171" s="142"/>
      <c r="F171" s="142"/>
      <c r="G171" s="146" t="s">
        <v>1242</v>
      </c>
    </row>
    <row r="172" spans="1:7" ht="30">
      <c r="A172" s="27">
        <v>25</v>
      </c>
      <c r="B172" s="142"/>
      <c r="C172" s="142"/>
      <c r="D172" s="142"/>
      <c r="E172" s="142"/>
      <c r="F172" s="142"/>
      <c r="G172" s="146" t="s">
        <v>1243</v>
      </c>
    </row>
    <row r="173" spans="1:7">
      <c r="A173" s="27">
        <v>26</v>
      </c>
      <c r="B173" s="142"/>
      <c r="C173" s="142"/>
      <c r="D173" s="142"/>
      <c r="E173" s="142"/>
      <c r="F173" s="142"/>
      <c r="G173" s="146" t="s">
        <v>1244</v>
      </c>
    </row>
    <row r="174" spans="1:7">
      <c r="A174" s="27">
        <v>27</v>
      </c>
      <c r="B174" s="142"/>
      <c r="C174" s="142"/>
      <c r="D174" s="142"/>
      <c r="E174" s="142"/>
      <c r="F174" s="142"/>
      <c r="G174" s="146" t="s">
        <v>1245</v>
      </c>
    </row>
    <row r="175" spans="1:7">
      <c r="A175" s="27">
        <v>28</v>
      </c>
      <c r="B175" s="142"/>
      <c r="C175" s="142"/>
      <c r="D175" s="142"/>
      <c r="E175" s="142"/>
      <c r="F175" s="142"/>
      <c r="G175" s="146" t="s">
        <v>1246</v>
      </c>
    </row>
    <row r="176" spans="1:7">
      <c r="A176" s="27">
        <v>29</v>
      </c>
      <c r="B176" s="142"/>
      <c r="C176" s="142"/>
      <c r="D176" s="142"/>
      <c r="E176" s="142"/>
      <c r="F176" s="142"/>
      <c r="G176" s="146" t="s">
        <v>1247</v>
      </c>
    </row>
    <row r="177" spans="1:7">
      <c r="A177" s="27">
        <v>30</v>
      </c>
      <c r="B177" s="142"/>
      <c r="C177" s="142"/>
      <c r="D177" s="142"/>
      <c r="E177" s="142"/>
      <c r="F177" s="142"/>
      <c r="G177" s="146" t="s">
        <v>1248</v>
      </c>
    </row>
    <row r="178" spans="1:7">
      <c r="A178" s="27">
        <v>31</v>
      </c>
      <c r="B178" s="142"/>
      <c r="C178" s="142"/>
      <c r="D178" s="142"/>
      <c r="E178" s="142"/>
      <c r="F178" s="142"/>
      <c r="G178" s="146" t="s">
        <v>1252</v>
      </c>
    </row>
    <row r="179" spans="1:7">
      <c r="A179" s="27">
        <v>32</v>
      </c>
      <c r="B179" s="142"/>
      <c r="C179" s="142"/>
      <c r="D179" s="142"/>
      <c r="E179" s="142"/>
      <c r="F179" s="142"/>
      <c r="G179" s="146" t="s">
        <v>1253</v>
      </c>
    </row>
    <row r="180" spans="1:7">
      <c r="A180" s="27">
        <v>33</v>
      </c>
      <c r="B180" s="142"/>
      <c r="C180" s="142"/>
      <c r="D180" s="142"/>
      <c r="E180" s="142"/>
      <c r="F180" s="142"/>
      <c r="G180" s="146" t="s">
        <v>1249</v>
      </c>
    </row>
    <row r="181" spans="1:7">
      <c r="A181" s="27">
        <v>34</v>
      </c>
      <c r="B181" s="142"/>
      <c r="C181" s="142"/>
      <c r="D181" s="142"/>
      <c r="E181" s="142"/>
      <c r="F181" s="142"/>
      <c r="G181" s="146" t="s">
        <v>1250</v>
      </c>
    </row>
    <row r="182" spans="1:7" ht="15.75" thickBot="1">
      <c r="A182" s="29">
        <v>35</v>
      </c>
      <c r="B182" s="147"/>
      <c r="C182" s="147"/>
      <c r="D182" s="147"/>
      <c r="E182" s="147"/>
      <c r="F182" s="147"/>
      <c r="G182" s="148" t="s">
        <v>1251</v>
      </c>
    </row>
    <row r="184" spans="1:7" ht="15.75" thickBot="1">
      <c r="A184" s="62" t="s">
        <v>795</v>
      </c>
      <c r="B184" s="12"/>
      <c r="C184" s="12"/>
      <c r="D184" s="12"/>
    </row>
    <row r="185" spans="1:7" ht="15.75" thickBot="1">
      <c r="A185" s="33" t="s">
        <v>15</v>
      </c>
      <c r="B185" s="21" t="s">
        <v>382</v>
      </c>
      <c r="C185" s="21" t="s">
        <v>383</v>
      </c>
      <c r="D185" s="21" t="s">
        <v>384</v>
      </c>
      <c r="E185" s="21" t="s">
        <v>385</v>
      </c>
      <c r="F185" s="199"/>
    </row>
    <row r="186" spans="1:7" ht="30">
      <c r="A186" s="26">
        <v>1</v>
      </c>
      <c r="B186" s="90" t="s">
        <v>415</v>
      </c>
      <c r="C186" s="90" t="s">
        <v>417</v>
      </c>
      <c r="D186" s="90" t="s">
        <v>2338</v>
      </c>
      <c r="E186" s="93" t="s">
        <v>2340</v>
      </c>
      <c r="F186" s="177"/>
    </row>
    <row r="187" spans="1:7">
      <c r="A187" s="213">
        <v>2</v>
      </c>
      <c r="B187" s="142"/>
      <c r="C187" s="142" t="s">
        <v>416</v>
      </c>
      <c r="D187" s="142"/>
      <c r="E187" s="146"/>
      <c r="F187" s="177"/>
    </row>
    <row r="188" spans="1:7" ht="30.75" thickBot="1">
      <c r="A188" s="29">
        <v>3</v>
      </c>
      <c r="B188" s="95"/>
      <c r="C188" s="95" t="s">
        <v>2339</v>
      </c>
      <c r="D188" s="95"/>
      <c r="E188" s="94"/>
      <c r="F188" s="177"/>
    </row>
    <row r="189" spans="1:7">
      <c r="B189" s="177"/>
      <c r="C189" s="177"/>
      <c r="D189" s="177"/>
      <c r="E189" s="177"/>
      <c r="F189" s="177"/>
    </row>
    <row r="190" spans="1:7" ht="15.75" thickBot="1">
      <c r="A190" s="62" t="s">
        <v>2317</v>
      </c>
      <c r="B190" s="12"/>
      <c r="C190" s="12"/>
      <c r="D190" s="12"/>
    </row>
    <row r="191" spans="1:7" ht="15.75" thickBot="1">
      <c r="A191" s="141" t="s">
        <v>15</v>
      </c>
      <c r="B191" s="140" t="s">
        <v>382</v>
      </c>
      <c r="C191" s="140" t="s">
        <v>383</v>
      </c>
      <c r="D191" s="140" t="s">
        <v>384</v>
      </c>
      <c r="E191" s="140" t="s">
        <v>385</v>
      </c>
      <c r="F191" s="199"/>
    </row>
    <row r="192" spans="1:7">
      <c r="A192" s="286">
        <v>1</v>
      </c>
      <c r="B192" s="287"/>
      <c r="C192" s="287"/>
      <c r="D192" s="287" t="s">
        <v>2316</v>
      </c>
      <c r="E192" s="288" t="s">
        <v>2321</v>
      </c>
      <c r="F192" s="177"/>
    </row>
    <row r="193" spans="1:6" ht="30">
      <c r="A193" s="27">
        <v>2</v>
      </c>
      <c r="B193" s="142"/>
      <c r="C193" s="142"/>
      <c r="D193" s="142" t="s">
        <v>2318</v>
      </c>
      <c r="E193" s="146" t="s">
        <v>2322</v>
      </c>
      <c r="F193" s="177"/>
    </row>
    <row r="194" spans="1:6">
      <c r="A194" s="27">
        <v>3</v>
      </c>
      <c r="B194" s="142"/>
      <c r="C194" s="142"/>
      <c r="D194" s="142" t="s">
        <v>2319</v>
      </c>
      <c r="E194" s="146" t="s">
        <v>2323</v>
      </c>
      <c r="F194" s="177"/>
    </row>
    <row r="195" spans="1:6" ht="30">
      <c r="A195" s="27">
        <v>4</v>
      </c>
      <c r="B195" s="142"/>
      <c r="C195" s="142"/>
      <c r="D195" s="142" t="s">
        <v>2320</v>
      </c>
      <c r="E195" s="146" t="s">
        <v>2324</v>
      </c>
      <c r="F195" s="177"/>
    </row>
    <row r="196" spans="1:6">
      <c r="A196" s="27">
        <v>5</v>
      </c>
      <c r="B196" s="142"/>
      <c r="C196" s="142"/>
      <c r="D196" s="142"/>
      <c r="E196" s="146" t="s">
        <v>2325</v>
      </c>
      <c r="F196" s="177"/>
    </row>
    <row r="197" spans="1:6">
      <c r="A197" s="27">
        <v>6</v>
      </c>
      <c r="B197" s="142"/>
      <c r="C197" s="142"/>
      <c r="D197" s="142"/>
      <c r="E197" s="146" t="s">
        <v>2326</v>
      </c>
      <c r="F197" s="177"/>
    </row>
    <row r="198" spans="1:6">
      <c r="A198" s="27">
        <v>7</v>
      </c>
      <c r="B198" s="142"/>
      <c r="C198" s="142"/>
      <c r="D198" s="142"/>
      <c r="E198" s="146" t="s">
        <v>2327</v>
      </c>
      <c r="F198" s="177"/>
    </row>
    <row r="199" spans="1:6" ht="30">
      <c r="A199" s="27">
        <v>8</v>
      </c>
      <c r="B199" s="142"/>
      <c r="C199" s="142"/>
      <c r="D199" s="142"/>
      <c r="E199" s="146" t="s">
        <v>2328</v>
      </c>
      <c r="F199" s="177"/>
    </row>
    <row r="200" spans="1:6" ht="30">
      <c r="A200" s="27">
        <v>9</v>
      </c>
      <c r="B200" s="142"/>
      <c r="C200" s="142"/>
      <c r="D200" s="142"/>
      <c r="E200" s="146" t="s">
        <v>2329</v>
      </c>
      <c r="F200" s="177"/>
    </row>
    <row r="201" spans="1:6" ht="30">
      <c r="A201" s="27">
        <v>10</v>
      </c>
      <c r="B201" s="142"/>
      <c r="C201" s="142"/>
      <c r="D201" s="142"/>
      <c r="E201" s="146" t="s">
        <v>2330</v>
      </c>
      <c r="F201" s="177"/>
    </row>
    <row r="202" spans="1:6" ht="30">
      <c r="A202" s="27">
        <v>11</v>
      </c>
      <c r="B202" s="142"/>
      <c r="C202" s="142"/>
      <c r="D202" s="142"/>
      <c r="E202" s="146" t="s">
        <v>2331</v>
      </c>
      <c r="F202" s="177"/>
    </row>
    <row r="203" spans="1:6">
      <c r="A203" s="27">
        <v>12</v>
      </c>
      <c r="B203" s="142"/>
      <c r="C203" s="142"/>
      <c r="D203" s="142"/>
      <c r="E203" s="146" t="s">
        <v>2332</v>
      </c>
      <c r="F203" s="177"/>
    </row>
    <row r="204" spans="1:6" ht="30.75" thickBot="1">
      <c r="A204" s="29">
        <v>13</v>
      </c>
      <c r="B204" s="147"/>
      <c r="C204" s="147"/>
      <c r="D204" s="147"/>
      <c r="E204" s="148" t="s">
        <v>2333</v>
      </c>
      <c r="F204" s="177"/>
    </row>
    <row r="206" spans="1:6">
      <c r="A206" s="172" t="s">
        <v>831</v>
      </c>
    </row>
    <row r="207" spans="1:6">
      <c r="A207" s="173" t="s">
        <v>832</v>
      </c>
    </row>
    <row r="209" spans="1:16">
      <c r="A209" s="88" t="s">
        <v>807</v>
      </c>
      <c r="B209" s="70"/>
      <c r="C209" s="70"/>
      <c r="D209" s="70"/>
      <c r="E209" s="70"/>
      <c r="F209" s="70"/>
      <c r="G209" s="70"/>
      <c r="H209" s="70"/>
      <c r="I209" s="70"/>
      <c r="J209" s="70"/>
      <c r="K209" s="70"/>
      <c r="L209" s="70"/>
      <c r="M209" s="70"/>
      <c r="N209" s="70"/>
      <c r="O209" s="70"/>
      <c r="P209" s="70"/>
    </row>
    <row r="210" spans="1:16">
      <c r="A210" s="164" t="s">
        <v>815</v>
      </c>
      <c r="B210" s="70"/>
      <c r="C210" s="70"/>
      <c r="D210" s="70"/>
      <c r="E210" s="70"/>
      <c r="F210" s="70"/>
      <c r="G210" s="70"/>
      <c r="H210" s="70"/>
      <c r="I210" s="70"/>
      <c r="J210" s="70"/>
      <c r="K210" s="70"/>
      <c r="L210" s="70"/>
      <c r="M210" s="70"/>
      <c r="N210" s="70"/>
      <c r="O210" s="70"/>
      <c r="P210" s="70"/>
    </row>
    <row r="211" spans="1:16">
      <c r="A211" s="164" t="s">
        <v>816</v>
      </c>
      <c r="B211" s="70"/>
      <c r="C211" s="70"/>
      <c r="D211" s="70"/>
      <c r="E211" s="70"/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70"/>
    </row>
    <row r="212" spans="1:16" ht="15" customHeight="1">
      <c r="A212" s="298" t="s">
        <v>808</v>
      </c>
      <c r="B212" s="298"/>
      <c r="C212" s="298"/>
      <c r="D212" s="298"/>
      <c r="E212" s="298"/>
      <c r="F212" s="197"/>
      <c r="G212" s="70"/>
      <c r="H212" s="70"/>
      <c r="I212" s="70"/>
      <c r="J212" s="70"/>
      <c r="K212" s="70"/>
      <c r="L212" s="70"/>
      <c r="M212" s="70"/>
      <c r="N212" s="70"/>
      <c r="O212" s="70"/>
      <c r="P212" s="70"/>
    </row>
    <row r="213" spans="1:16">
      <c r="A213" s="298"/>
      <c r="B213" s="298"/>
      <c r="C213" s="298"/>
      <c r="D213" s="298"/>
      <c r="E213" s="298"/>
      <c r="F213" s="197"/>
      <c r="P213" s="70"/>
    </row>
    <row r="214" spans="1:16">
      <c r="B214" s="88" t="s">
        <v>809</v>
      </c>
      <c r="P214" s="70"/>
    </row>
    <row r="215" spans="1:16">
      <c r="B215" s="165" t="s">
        <v>810</v>
      </c>
      <c r="P215" s="70"/>
    </row>
    <row r="216" spans="1:16">
      <c r="B216" s="165" t="s">
        <v>811</v>
      </c>
      <c r="P216" s="70"/>
    </row>
    <row r="217" spans="1:16" ht="15" customHeight="1">
      <c r="A217" s="297" t="s">
        <v>812</v>
      </c>
      <c r="B217" s="297"/>
      <c r="C217" s="297"/>
      <c r="D217" s="297"/>
      <c r="E217" s="297"/>
      <c r="F217" s="171"/>
      <c r="G217" s="86"/>
      <c r="H217" s="86"/>
      <c r="I217" s="86"/>
      <c r="J217" s="86"/>
      <c r="K217" s="86"/>
      <c r="L217" s="86"/>
      <c r="M217" s="86"/>
      <c r="N217" s="86"/>
      <c r="O217" s="86"/>
      <c r="P217" s="70"/>
    </row>
    <row r="218" spans="1:16">
      <c r="A218" s="297"/>
      <c r="B218" s="297"/>
      <c r="C218" s="297"/>
      <c r="D218" s="297"/>
      <c r="E218" s="297"/>
      <c r="F218" s="171"/>
      <c r="G218" s="70"/>
      <c r="H218" s="70"/>
      <c r="I218" s="70"/>
      <c r="J218" s="70"/>
      <c r="K218" s="70"/>
      <c r="L218" s="70"/>
      <c r="M218" s="70"/>
      <c r="N218" s="70"/>
      <c r="O218" s="70"/>
      <c r="P218" s="70"/>
    </row>
    <row r="219" spans="1:16">
      <c r="A219" s="164"/>
      <c r="B219" s="88" t="s">
        <v>809</v>
      </c>
      <c r="C219" s="70"/>
      <c r="D219" s="70"/>
      <c r="E219" s="70"/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</row>
    <row r="220" spans="1:16" ht="15" customHeight="1">
      <c r="B220" s="165" t="s">
        <v>810</v>
      </c>
      <c r="P220" s="163"/>
    </row>
    <row r="221" spans="1:16">
      <c r="A221" s="164"/>
      <c r="B221" s="165" t="s">
        <v>811</v>
      </c>
      <c r="C221" s="70"/>
      <c r="D221" s="70"/>
      <c r="E221" s="70"/>
      <c r="F221" s="70"/>
      <c r="G221" s="70"/>
      <c r="H221" s="70"/>
      <c r="I221" s="70"/>
      <c r="J221" s="70"/>
      <c r="K221" s="70"/>
      <c r="L221" s="70"/>
      <c r="M221" s="70"/>
      <c r="N221" s="70"/>
      <c r="O221" s="70"/>
    </row>
    <row r="222" spans="1:16" ht="15" customHeight="1">
      <c r="A222" s="297" t="s">
        <v>817</v>
      </c>
      <c r="B222" s="297"/>
      <c r="C222" s="297"/>
      <c r="D222" s="297"/>
      <c r="E222" s="297"/>
      <c r="F222" s="171"/>
      <c r="G222" s="70"/>
      <c r="H222" s="70"/>
      <c r="I222" s="70"/>
      <c r="J222" s="70"/>
      <c r="K222" s="70"/>
      <c r="L222" s="70"/>
      <c r="M222" s="70"/>
      <c r="N222" s="70"/>
      <c r="O222" s="70"/>
      <c r="P222" s="163"/>
    </row>
    <row r="223" spans="1:16" ht="15" customHeight="1">
      <c r="A223" s="297"/>
      <c r="B223" s="297"/>
      <c r="C223" s="297"/>
      <c r="D223" s="297"/>
      <c r="E223" s="297"/>
      <c r="F223" s="171"/>
      <c r="G223" s="70"/>
      <c r="H223" s="70"/>
      <c r="I223" s="70"/>
      <c r="J223" s="70"/>
      <c r="K223" s="70"/>
      <c r="L223" s="70"/>
      <c r="M223" s="70"/>
      <c r="N223" s="70"/>
      <c r="O223" s="70"/>
      <c r="P223" s="163"/>
    </row>
    <row r="224" spans="1:16" ht="15" customHeight="1">
      <c r="A224" s="297" t="s">
        <v>818</v>
      </c>
      <c r="B224" s="297"/>
      <c r="C224" s="297"/>
      <c r="D224" s="297"/>
      <c r="E224" s="297"/>
      <c r="F224" s="171"/>
      <c r="G224" s="171"/>
      <c r="H224" s="171"/>
      <c r="I224" s="171"/>
      <c r="J224" s="171"/>
      <c r="K224" s="171"/>
      <c r="L224" s="171"/>
      <c r="M224" s="171"/>
      <c r="N224" s="171"/>
      <c r="O224" s="171"/>
      <c r="P224" s="163"/>
    </row>
    <row r="225" spans="1:16" ht="15" customHeight="1">
      <c r="A225" s="297"/>
      <c r="B225" s="297"/>
      <c r="C225" s="297"/>
      <c r="D225" s="297"/>
      <c r="E225" s="297"/>
      <c r="F225" s="171"/>
      <c r="G225" s="171"/>
      <c r="H225" s="171"/>
      <c r="I225" s="171"/>
      <c r="J225" s="171"/>
      <c r="K225" s="171"/>
      <c r="L225" s="171"/>
      <c r="M225" s="171"/>
      <c r="N225" s="171"/>
      <c r="O225" s="171"/>
      <c r="P225" s="163"/>
    </row>
    <row r="226" spans="1:16" ht="15" customHeight="1">
      <c r="A226" s="167" t="s">
        <v>819</v>
      </c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163"/>
    </row>
    <row r="227" spans="1:16" ht="15" customHeight="1">
      <c r="B227" s="168" t="s">
        <v>820</v>
      </c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163"/>
      <c r="P227" s="86"/>
    </row>
    <row r="228" spans="1:16" ht="15" customHeight="1">
      <c r="A228" s="166"/>
      <c r="B228" s="168" t="s">
        <v>821</v>
      </c>
      <c r="C228" s="168"/>
      <c r="D228" s="168"/>
      <c r="E228" s="168"/>
      <c r="F228" s="168"/>
      <c r="G228" s="168"/>
      <c r="H228" s="168"/>
      <c r="I228" s="168"/>
      <c r="J228" s="168"/>
      <c r="K228" s="168"/>
      <c r="L228" s="168"/>
      <c r="M228" s="70"/>
      <c r="N228" s="163"/>
      <c r="O228" s="163"/>
      <c r="P228" s="86"/>
    </row>
    <row r="229" spans="1:16" ht="15" customHeight="1">
      <c r="A229" s="166"/>
      <c r="B229" s="168" t="s">
        <v>822</v>
      </c>
      <c r="C229" s="168"/>
      <c r="D229" s="168"/>
      <c r="E229" s="168"/>
      <c r="F229" s="168"/>
      <c r="G229" s="168"/>
      <c r="H229" s="168"/>
      <c r="I229" s="168"/>
      <c r="J229" s="168"/>
      <c r="K229" s="168"/>
      <c r="L229" s="168"/>
      <c r="M229" s="70"/>
      <c r="N229" s="163"/>
      <c r="O229" s="163"/>
      <c r="P229" s="163"/>
    </row>
    <row r="230" spans="1:16" ht="15" customHeight="1">
      <c r="A230" s="167" t="s">
        <v>828</v>
      </c>
      <c r="C230" s="168"/>
      <c r="D230" s="168"/>
      <c r="E230" s="168"/>
      <c r="F230" s="168"/>
      <c r="G230" s="168"/>
      <c r="H230" s="168"/>
      <c r="I230" s="168"/>
      <c r="J230" s="168"/>
      <c r="K230" s="168"/>
      <c r="L230" s="168"/>
      <c r="M230" s="168"/>
      <c r="N230" s="163"/>
      <c r="O230" s="163"/>
      <c r="P230" s="86"/>
    </row>
    <row r="231" spans="1:16" ht="15" customHeight="1">
      <c r="A231" s="297" t="s">
        <v>823</v>
      </c>
      <c r="B231" s="297"/>
      <c r="C231" s="297"/>
      <c r="D231" s="297"/>
      <c r="E231" s="297"/>
      <c r="F231" s="171"/>
      <c r="G231" s="86"/>
      <c r="H231" s="86"/>
      <c r="I231" s="86"/>
      <c r="J231" s="86"/>
      <c r="K231" s="86"/>
      <c r="L231" s="86"/>
      <c r="M231" s="86"/>
      <c r="N231" s="86"/>
      <c r="O231" s="86"/>
      <c r="P231" s="163"/>
    </row>
    <row r="232" spans="1:16" ht="15" customHeight="1">
      <c r="A232" s="297"/>
      <c r="B232" s="297"/>
      <c r="C232" s="297"/>
      <c r="D232" s="297"/>
      <c r="E232" s="297"/>
      <c r="F232" s="171"/>
      <c r="G232" s="86"/>
      <c r="H232" s="86"/>
      <c r="I232" s="86"/>
      <c r="J232" s="86"/>
      <c r="K232" s="86"/>
      <c r="L232" s="86"/>
      <c r="M232" s="86"/>
      <c r="N232" s="86"/>
      <c r="O232" s="86"/>
      <c r="P232" s="163"/>
    </row>
    <row r="233" spans="1:16">
      <c r="A233" s="167" t="s">
        <v>824</v>
      </c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163"/>
    </row>
    <row r="234" spans="1:16" ht="15" customHeight="1">
      <c r="A234" s="167" t="s">
        <v>825</v>
      </c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163"/>
    </row>
    <row r="235" spans="1:16" ht="15" customHeight="1">
      <c r="A235" s="297" t="s">
        <v>830</v>
      </c>
      <c r="B235" s="297"/>
      <c r="C235" s="297"/>
      <c r="D235" s="297"/>
      <c r="E235" s="297"/>
      <c r="F235" s="171"/>
      <c r="G235" s="169"/>
      <c r="H235" s="163"/>
      <c r="I235" s="163"/>
      <c r="J235" s="163"/>
      <c r="K235" s="163"/>
      <c r="L235" s="163"/>
      <c r="M235" s="163"/>
      <c r="N235" s="163"/>
      <c r="O235" s="163"/>
    </row>
    <row r="236" spans="1:16" ht="15" customHeight="1">
      <c r="A236" s="297"/>
      <c r="B236" s="297"/>
      <c r="C236" s="297"/>
      <c r="D236" s="297"/>
      <c r="E236" s="297"/>
      <c r="F236" s="171"/>
      <c r="G236" s="167"/>
      <c r="H236" s="167"/>
      <c r="I236" s="167"/>
      <c r="J236" s="167"/>
      <c r="K236" s="167"/>
      <c r="L236" s="167"/>
      <c r="M236" s="167"/>
      <c r="N236" s="167"/>
      <c r="O236" s="167"/>
    </row>
    <row r="237" spans="1:16">
      <c r="A237" s="167" t="s">
        <v>826</v>
      </c>
      <c r="D237" s="169"/>
      <c r="E237" s="169"/>
      <c r="F237" s="169"/>
      <c r="G237" s="70"/>
      <c r="H237" s="70"/>
      <c r="I237" s="70"/>
      <c r="J237" s="70"/>
      <c r="K237" s="70"/>
      <c r="L237" s="70"/>
      <c r="M237" s="70"/>
      <c r="N237" s="70"/>
      <c r="O237" s="70"/>
    </row>
    <row r="238" spans="1:16">
      <c r="A238" s="167"/>
      <c r="B238" s="165" t="s">
        <v>814</v>
      </c>
      <c r="C238" s="170" t="s">
        <v>813</v>
      </c>
      <c r="D238" s="169"/>
      <c r="E238" s="169"/>
      <c r="F238" s="169"/>
      <c r="G238" s="70"/>
      <c r="H238" s="70"/>
      <c r="I238" s="70"/>
      <c r="J238" s="70"/>
      <c r="K238" s="70"/>
      <c r="L238" s="70"/>
      <c r="M238" s="70"/>
      <c r="N238" s="70"/>
      <c r="O238" s="70"/>
    </row>
    <row r="239" spans="1:16" ht="15" customHeight="1">
      <c r="A239" s="297" t="s">
        <v>829</v>
      </c>
      <c r="B239" s="297"/>
      <c r="C239" s="297"/>
      <c r="D239" s="297"/>
      <c r="E239" s="297"/>
      <c r="F239" s="171"/>
    </row>
    <row r="240" spans="1:16">
      <c r="A240" s="297"/>
      <c r="B240" s="297"/>
      <c r="C240" s="297"/>
      <c r="D240" s="297"/>
      <c r="E240" s="297"/>
      <c r="F240" s="171"/>
    </row>
    <row r="241" spans="1:1">
      <c r="A241" s="167" t="s">
        <v>827</v>
      </c>
    </row>
  </sheetData>
  <mergeCells count="8">
    <mergeCell ref="A67:E67"/>
    <mergeCell ref="A235:E236"/>
    <mergeCell ref="A239:E240"/>
    <mergeCell ref="A212:E213"/>
    <mergeCell ref="A217:E218"/>
    <mergeCell ref="A222:E223"/>
    <mergeCell ref="A224:E225"/>
    <mergeCell ref="A231:E232"/>
  </mergeCells>
  <pageMargins left="0.7" right="0.7" top="0.75" bottom="0.75" header="0.3" footer="0.3"/>
  <pageSetup paperSize="9" scale="43" fitToHeight="0" orientation="portrait" r:id="rId1"/>
  <headerFooter>
    <oddHeader>&amp;R&amp;"-,Bold"OPERASI</oddHeader>
    <oddFooter>&amp;L&amp;P+37 | &amp;F&amp;RGOLONGAN TINDAKAN OPERASI</oddFooter>
  </headerFooter>
  <rowBreaks count="3" manualBreakCount="3">
    <brk id="66" max="16383" man="1"/>
    <brk id="145" max="16383" man="1"/>
    <brk id="205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03EE6-CE63-4911-A392-4D2D659408F9}">
  <sheetPr codeName="Sheet11">
    <pageSetUpPr fitToPage="1"/>
  </sheetPr>
  <dimension ref="A1:G114"/>
  <sheetViews>
    <sheetView showGridLines="0" showRuler="0" view="pageLayout" topLeftCell="A91" zoomScaleNormal="82" workbookViewId="0">
      <selection activeCell="E111" sqref="E111"/>
    </sheetView>
  </sheetViews>
  <sheetFormatPr defaultColWidth="8.85546875" defaultRowHeight="15"/>
  <cols>
    <col min="1" max="1" width="4.28515625" style="36" bestFit="1" customWidth="1"/>
    <col min="2" max="2" width="53.5703125" style="35" customWidth="1"/>
    <col min="3" max="3" width="18.140625" style="106" customWidth="1"/>
    <col min="4" max="4" width="17.42578125" style="45" customWidth="1"/>
    <col min="5" max="5" width="17.85546875" style="45" customWidth="1"/>
    <col min="6" max="6" width="16.42578125" style="45" customWidth="1"/>
    <col min="7" max="7" width="17.42578125" style="45" customWidth="1"/>
    <col min="8" max="8" width="11" style="35" bestFit="1" customWidth="1"/>
    <col min="9" max="16384" width="8.85546875" style="35"/>
  </cols>
  <sheetData>
    <row r="1" spans="1:7" s="64" customFormat="1" ht="15.75">
      <c r="A1" s="64" t="s">
        <v>796</v>
      </c>
    </row>
    <row r="2" spans="1:7" s="64" customFormat="1" ht="15.75">
      <c r="A2" s="64" t="s">
        <v>380</v>
      </c>
    </row>
    <row r="3" spans="1:7" s="64" customFormat="1" ht="16.5" thickBot="1"/>
    <row r="4" spans="1:7" ht="38.450000000000003" customHeight="1" thickBot="1">
      <c r="A4" s="8" t="s">
        <v>15</v>
      </c>
      <c r="B4" s="39" t="s">
        <v>376</v>
      </c>
      <c r="C4" s="105" t="s">
        <v>414</v>
      </c>
      <c r="D4" s="13" t="s">
        <v>21</v>
      </c>
      <c r="E4" s="13" t="s">
        <v>2306</v>
      </c>
      <c r="F4" s="13" t="s">
        <v>2307</v>
      </c>
      <c r="G4" s="13" t="s">
        <v>498</v>
      </c>
    </row>
    <row r="5" spans="1:7">
      <c r="A5" s="38">
        <v>1</v>
      </c>
      <c r="B5" s="40" t="s">
        <v>23</v>
      </c>
      <c r="C5" s="180">
        <v>110000.00000000001</v>
      </c>
      <c r="D5" s="180">
        <v>110000.00000000001</v>
      </c>
      <c r="E5" s="180">
        <v>110000.00000000001</v>
      </c>
      <c r="F5" s="180">
        <v>110000.00000000001</v>
      </c>
      <c r="G5" s="180">
        <v>110000.00000000001</v>
      </c>
    </row>
    <row r="6" spans="1:7">
      <c r="A6" s="38">
        <v>2</v>
      </c>
      <c r="B6" s="41" t="s">
        <v>24</v>
      </c>
      <c r="C6" s="180">
        <v>220000.00000000003</v>
      </c>
      <c r="D6" s="180">
        <v>220000.00000000003</v>
      </c>
      <c r="E6" s="180">
        <v>220000.00000000003</v>
      </c>
      <c r="F6" s="180">
        <v>220000.00000000003</v>
      </c>
      <c r="G6" s="178">
        <v>220000.00000000003</v>
      </c>
    </row>
    <row r="7" spans="1:7">
      <c r="A7" s="38">
        <v>3</v>
      </c>
      <c r="B7" s="41" t="s">
        <v>25</v>
      </c>
      <c r="C7" s="180">
        <v>330000</v>
      </c>
      <c r="D7" s="180">
        <v>330000</v>
      </c>
      <c r="E7" s="180">
        <v>330000</v>
      </c>
      <c r="F7" s="180">
        <v>330000</v>
      </c>
      <c r="G7" s="178">
        <v>330000</v>
      </c>
    </row>
    <row r="8" spans="1:7">
      <c r="A8" s="38">
        <v>4</v>
      </c>
      <c r="B8" s="41" t="s">
        <v>26</v>
      </c>
      <c r="C8" s="180">
        <v>1980000.0000000002</v>
      </c>
      <c r="D8" s="180">
        <v>1980000.0000000002</v>
      </c>
      <c r="E8" s="180">
        <v>1980000.0000000002</v>
      </c>
      <c r="F8" s="180">
        <v>1980000.0000000002</v>
      </c>
      <c r="G8" s="178">
        <v>1980000.0000000002</v>
      </c>
    </row>
    <row r="9" spans="1:7">
      <c r="A9" s="38">
        <v>5</v>
      </c>
      <c r="B9" s="41" t="s">
        <v>31</v>
      </c>
      <c r="C9" s="180">
        <v>1650000.0000000002</v>
      </c>
      <c r="D9" s="180">
        <v>1650000.0000000002</v>
      </c>
      <c r="E9" s="180">
        <v>1650000.0000000002</v>
      </c>
      <c r="F9" s="180">
        <v>1650000.0000000002</v>
      </c>
      <c r="G9" s="178">
        <v>1650000.0000000002</v>
      </c>
    </row>
    <row r="10" spans="1:7">
      <c r="A10" s="38">
        <v>6</v>
      </c>
      <c r="B10" s="41" t="s">
        <v>37</v>
      </c>
      <c r="C10" s="180">
        <v>550000</v>
      </c>
      <c r="D10" s="180">
        <v>577500</v>
      </c>
      <c r="E10" s="180">
        <v>607200</v>
      </c>
      <c r="F10" s="180">
        <v>636900</v>
      </c>
      <c r="G10" s="178">
        <v>668800</v>
      </c>
    </row>
    <row r="11" spans="1:7">
      <c r="A11" s="38">
        <v>7</v>
      </c>
      <c r="B11" s="41" t="s">
        <v>38</v>
      </c>
      <c r="C11" s="180">
        <v>27500.000000000004</v>
      </c>
      <c r="D11" s="180">
        <v>29700.000000000004</v>
      </c>
      <c r="E11" s="180">
        <v>30800.000000000004</v>
      </c>
      <c r="F11" s="180">
        <v>31900.000000000004</v>
      </c>
      <c r="G11" s="178">
        <v>34100</v>
      </c>
    </row>
    <row r="12" spans="1:7">
      <c r="A12" s="38">
        <v>8</v>
      </c>
      <c r="B12" s="41" t="s">
        <v>40</v>
      </c>
      <c r="C12" s="180">
        <v>715000</v>
      </c>
      <c r="D12" s="180">
        <v>751300.00000000012</v>
      </c>
      <c r="E12" s="180">
        <v>788700.00000000012</v>
      </c>
      <c r="F12" s="180">
        <v>828300.00000000012</v>
      </c>
      <c r="G12" s="178">
        <v>870100.00000000012</v>
      </c>
    </row>
    <row r="13" spans="1:7">
      <c r="A13" s="38">
        <v>9</v>
      </c>
      <c r="B13" s="41" t="s">
        <v>46</v>
      </c>
      <c r="C13" s="180">
        <v>82500</v>
      </c>
      <c r="D13" s="180">
        <v>86900</v>
      </c>
      <c r="E13" s="180">
        <v>91300.000000000015</v>
      </c>
      <c r="F13" s="180">
        <v>95700.000000000015</v>
      </c>
      <c r="G13" s="178">
        <v>101200.00000000001</v>
      </c>
    </row>
    <row r="14" spans="1:7">
      <c r="A14" s="38">
        <v>10</v>
      </c>
      <c r="B14" s="41" t="s">
        <v>47</v>
      </c>
      <c r="C14" s="180">
        <v>220000.00000000003</v>
      </c>
      <c r="D14" s="180">
        <v>231000.00000000003</v>
      </c>
      <c r="E14" s="180">
        <v>243100.00000000003</v>
      </c>
      <c r="F14" s="180">
        <v>255200.00000000003</v>
      </c>
      <c r="G14" s="178">
        <v>268400</v>
      </c>
    </row>
    <row r="15" spans="1:7">
      <c r="A15" s="38">
        <v>11</v>
      </c>
      <c r="B15" s="41" t="s">
        <v>48</v>
      </c>
      <c r="C15" s="180">
        <v>82500</v>
      </c>
      <c r="D15" s="180">
        <v>86900</v>
      </c>
      <c r="E15" s="180">
        <v>91300.000000000015</v>
      </c>
      <c r="F15" s="180">
        <v>95700.000000000015</v>
      </c>
      <c r="G15" s="178">
        <v>101200.00000000001</v>
      </c>
    </row>
    <row r="16" spans="1:7">
      <c r="A16" s="38">
        <v>12</v>
      </c>
      <c r="B16" s="41" t="s">
        <v>49</v>
      </c>
      <c r="C16" s="180">
        <v>12100.000000000002</v>
      </c>
      <c r="D16" s="180">
        <v>13200.000000000002</v>
      </c>
      <c r="E16" s="180">
        <v>14300.000000000002</v>
      </c>
      <c r="F16" s="180">
        <v>14300.000000000002</v>
      </c>
      <c r="G16" s="178">
        <v>15400.000000000002</v>
      </c>
    </row>
    <row r="17" spans="1:7">
      <c r="A17" s="38">
        <v>13</v>
      </c>
      <c r="B17" s="41" t="s">
        <v>50</v>
      </c>
      <c r="C17" s="180">
        <v>17600</v>
      </c>
      <c r="D17" s="180">
        <v>18700</v>
      </c>
      <c r="E17" s="180">
        <v>19800</v>
      </c>
      <c r="F17" s="180">
        <v>20900</v>
      </c>
      <c r="G17" s="178">
        <v>22000</v>
      </c>
    </row>
    <row r="18" spans="1:7">
      <c r="A18" s="38">
        <v>14</v>
      </c>
      <c r="B18" s="41" t="s">
        <v>51</v>
      </c>
      <c r="C18" s="180">
        <v>24200.000000000004</v>
      </c>
      <c r="D18" s="180">
        <v>26400.000000000004</v>
      </c>
      <c r="E18" s="180">
        <v>27500.000000000004</v>
      </c>
      <c r="F18" s="180">
        <v>28600.000000000004</v>
      </c>
      <c r="G18" s="178">
        <v>29700.000000000004</v>
      </c>
    </row>
    <row r="19" spans="1:7">
      <c r="A19" s="38">
        <v>15</v>
      </c>
      <c r="B19" s="41" t="s">
        <v>52</v>
      </c>
      <c r="C19" s="180">
        <v>44000</v>
      </c>
      <c r="D19" s="180">
        <v>46200.000000000007</v>
      </c>
      <c r="E19" s="180">
        <v>49500.000000000007</v>
      </c>
      <c r="F19" s="180">
        <v>51700.000000000007</v>
      </c>
      <c r="G19" s="178">
        <v>53900.000000000007</v>
      </c>
    </row>
    <row r="20" spans="1:7">
      <c r="A20" s="38">
        <v>16</v>
      </c>
      <c r="B20" s="41" t="s">
        <v>53</v>
      </c>
      <c r="C20" s="180">
        <v>110000.00000000001</v>
      </c>
      <c r="D20" s="180">
        <v>115500.00000000001</v>
      </c>
      <c r="E20" s="180">
        <v>122100.00000000001</v>
      </c>
      <c r="F20" s="180">
        <v>127600.00000000001</v>
      </c>
      <c r="G20" s="178">
        <v>134200</v>
      </c>
    </row>
    <row r="21" spans="1:7">
      <c r="A21" s="38">
        <v>17</v>
      </c>
      <c r="B21" s="41" t="s">
        <v>54</v>
      </c>
      <c r="C21" s="180">
        <v>30250.000000000004</v>
      </c>
      <c r="D21" s="180">
        <v>31900.000000000004</v>
      </c>
      <c r="E21" s="180">
        <v>34100</v>
      </c>
      <c r="F21" s="180">
        <v>35200</v>
      </c>
      <c r="G21" s="178">
        <v>37400</v>
      </c>
    </row>
    <row r="22" spans="1:7">
      <c r="A22" s="38">
        <v>18</v>
      </c>
      <c r="B22" s="41" t="s">
        <v>55</v>
      </c>
      <c r="C22" s="180">
        <v>3300000.0000000005</v>
      </c>
      <c r="D22" s="180">
        <v>3465000.0000000005</v>
      </c>
      <c r="E22" s="180">
        <v>3638800.0000000005</v>
      </c>
      <c r="F22" s="180">
        <v>3820300.0000000005</v>
      </c>
      <c r="G22" s="178">
        <v>4011700.0000000005</v>
      </c>
    </row>
    <row r="23" spans="1:7">
      <c r="A23" s="38">
        <v>19</v>
      </c>
      <c r="B23" s="41" t="s">
        <v>58</v>
      </c>
      <c r="C23" s="180">
        <v>715000</v>
      </c>
      <c r="D23" s="180">
        <v>751300.00000000012</v>
      </c>
      <c r="E23" s="180">
        <v>788700.00000000012</v>
      </c>
      <c r="F23" s="180">
        <v>828300.00000000012</v>
      </c>
      <c r="G23" s="178">
        <v>870100.00000000012</v>
      </c>
    </row>
    <row r="24" spans="1:7">
      <c r="A24" s="38">
        <v>20</v>
      </c>
      <c r="B24" s="41" t="s">
        <v>311</v>
      </c>
      <c r="C24" s="180">
        <v>20020000</v>
      </c>
      <c r="D24" s="180">
        <v>21021000</v>
      </c>
      <c r="E24" s="180">
        <v>22072600</v>
      </c>
      <c r="F24" s="180">
        <v>23175900.000000004</v>
      </c>
      <c r="G24" s="178">
        <v>24335300.000000004</v>
      </c>
    </row>
    <row r="25" spans="1:7">
      <c r="A25" s="38">
        <v>21</v>
      </c>
      <c r="B25" s="41" t="s">
        <v>312</v>
      </c>
      <c r="C25" s="180">
        <v>8580000</v>
      </c>
      <c r="D25" s="180">
        <v>9009000</v>
      </c>
      <c r="E25" s="180">
        <v>9460000</v>
      </c>
      <c r="F25" s="180">
        <v>9933000</v>
      </c>
      <c r="G25" s="178">
        <v>10429100</v>
      </c>
    </row>
    <row r="26" spans="1:7">
      <c r="A26" s="38">
        <v>22</v>
      </c>
      <c r="B26" s="41" t="s">
        <v>313</v>
      </c>
      <c r="C26" s="180">
        <v>3811500.0000000005</v>
      </c>
      <c r="D26" s="180">
        <v>4002900.0000000005</v>
      </c>
      <c r="E26" s="180">
        <v>4203100</v>
      </c>
      <c r="F26" s="180">
        <v>4413200</v>
      </c>
      <c r="G26" s="178">
        <v>4633200</v>
      </c>
    </row>
    <row r="27" spans="1:7">
      <c r="A27" s="38">
        <v>23</v>
      </c>
      <c r="B27" s="41" t="s">
        <v>314</v>
      </c>
      <c r="C27" s="180">
        <v>2722500</v>
      </c>
      <c r="D27" s="180">
        <v>2858900</v>
      </c>
      <c r="E27" s="180">
        <v>3001900.0000000005</v>
      </c>
      <c r="F27" s="180">
        <v>3152600.0000000005</v>
      </c>
      <c r="G27" s="178">
        <v>3309900.0000000005</v>
      </c>
    </row>
    <row r="28" spans="1:7">
      <c r="A28" s="38">
        <v>24</v>
      </c>
      <c r="B28" s="41" t="s">
        <v>315</v>
      </c>
      <c r="C28" s="180">
        <v>451935.00000000006</v>
      </c>
      <c r="D28" s="180">
        <v>475200.00000000006</v>
      </c>
      <c r="E28" s="180">
        <v>498300.00000000006</v>
      </c>
      <c r="F28" s="180">
        <v>523600.00000000006</v>
      </c>
      <c r="G28" s="178">
        <v>550000</v>
      </c>
    </row>
    <row r="29" spans="1:7">
      <c r="A29" s="38">
        <v>25</v>
      </c>
      <c r="B29" s="41" t="s">
        <v>316</v>
      </c>
      <c r="C29" s="180">
        <v>451935.00000000006</v>
      </c>
      <c r="D29" s="180">
        <v>475200.00000000006</v>
      </c>
      <c r="E29" s="180">
        <v>498300.00000000006</v>
      </c>
      <c r="F29" s="180">
        <v>523600.00000000006</v>
      </c>
      <c r="G29" s="178">
        <v>550000</v>
      </c>
    </row>
    <row r="30" spans="1:7">
      <c r="A30" s="38">
        <v>26</v>
      </c>
      <c r="B30" s="41" t="s">
        <v>317</v>
      </c>
      <c r="C30" s="180">
        <v>1197900</v>
      </c>
      <c r="D30" s="180">
        <v>1258400</v>
      </c>
      <c r="E30" s="180">
        <v>1321100</v>
      </c>
      <c r="F30" s="180">
        <v>1387100</v>
      </c>
      <c r="G30" s="178">
        <v>1456400.0000000002</v>
      </c>
    </row>
    <row r="31" spans="1:7">
      <c r="A31" s="38">
        <v>27</v>
      </c>
      <c r="B31" s="41" t="s">
        <v>319</v>
      </c>
      <c r="C31" s="180">
        <v>2613600</v>
      </c>
      <c r="D31" s="180">
        <v>2744500</v>
      </c>
      <c r="E31" s="180">
        <v>2882000</v>
      </c>
      <c r="F31" s="180">
        <v>3026100.0000000005</v>
      </c>
      <c r="G31" s="178">
        <v>3177900.0000000005</v>
      </c>
    </row>
    <row r="32" spans="1:7">
      <c r="A32" s="38">
        <v>28</v>
      </c>
      <c r="B32" s="41" t="s">
        <v>321</v>
      </c>
      <c r="C32" s="180">
        <v>3300000.0000000005</v>
      </c>
      <c r="D32" s="180">
        <v>3465000.0000000005</v>
      </c>
      <c r="E32" s="180">
        <v>3638800.0000000005</v>
      </c>
      <c r="F32" s="180">
        <v>3820300.0000000005</v>
      </c>
      <c r="G32" s="178">
        <v>4011700.0000000005</v>
      </c>
    </row>
    <row r="33" spans="1:7">
      <c r="A33" s="38">
        <v>29</v>
      </c>
      <c r="B33" s="41" t="s">
        <v>322</v>
      </c>
      <c r="C33" s="180">
        <v>14300000.000000002</v>
      </c>
      <c r="D33" s="180">
        <v>15015000.000000002</v>
      </c>
      <c r="E33" s="180">
        <v>15766300.000000002</v>
      </c>
      <c r="F33" s="180">
        <v>16555000.000000002</v>
      </c>
      <c r="G33" s="178">
        <v>17382200</v>
      </c>
    </row>
    <row r="34" spans="1:7">
      <c r="A34" s="38">
        <v>30</v>
      </c>
      <c r="B34" s="41" t="s">
        <v>323</v>
      </c>
      <c r="C34" s="180">
        <v>3960000.0000000005</v>
      </c>
      <c r="D34" s="180">
        <v>4158000.0000000005</v>
      </c>
      <c r="E34" s="180">
        <v>4365900</v>
      </c>
      <c r="F34" s="180">
        <v>4584800</v>
      </c>
      <c r="G34" s="178">
        <v>4813600</v>
      </c>
    </row>
    <row r="35" spans="1:7">
      <c r="A35" s="38">
        <v>31</v>
      </c>
      <c r="B35" s="41" t="s">
        <v>324</v>
      </c>
      <c r="C35" s="180">
        <v>16720000.000000002</v>
      </c>
      <c r="D35" s="180">
        <v>17556000</v>
      </c>
      <c r="E35" s="180">
        <v>18433800</v>
      </c>
      <c r="F35" s="180">
        <v>19355600</v>
      </c>
      <c r="G35" s="178">
        <v>20323600</v>
      </c>
    </row>
    <row r="36" spans="1:7">
      <c r="A36" s="38">
        <v>32</v>
      </c>
      <c r="B36" s="41" t="s">
        <v>325</v>
      </c>
      <c r="C36" s="180">
        <v>935000.00000000012</v>
      </c>
      <c r="D36" s="180">
        <v>982300.00000000012</v>
      </c>
      <c r="E36" s="180">
        <v>1031800.0000000001</v>
      </c>
      <c r="F36" s="180">
        <v>1082400</v>
      </c>
      <c r="G36" s="178">
        <v>1137400</v>
      </c>
    </row>
    <row r="37" spans="1:7">
      <c r="A37" s="38">
        <v>33</v>
      </c>
      <c r="B37" s="41" t="s">
        <v>326</v>
      </c>
      <c r="C37" s="180">
        <v>935000.00000000012</v>
      </c>
      <c r="D37" s="180">
        <v>982300.00000000012</v>
      </c>
      <c r="E37" s="180">
        <v>1031800.0000000001</v>
      </c>
      <c r="F37" s="180">
        <v>1082400</v>
      </c>
      <c r="G37" s="178">
        <v>1137400</v>
      </c>
    </row>
    <row r="38" spans="1:7">
      <c r="A38" s="38">
        <v>34</v>
      </c>
      <c r="B38" s="18" t="s">
        <v>327</v>
      </c>
      <c r="C38" s="180">
        <v>935000.00000000012</v>
      </c>
      <c r="D38" s="180">
        <v>982300.00000000012</v>
      </c>
      <c r="E38" s="180">
        <v>1031800.0000000001</v>
      </c>
      <c r="F38" s="180">
        <v>1082400</v>
      </c>
      <c r="G38" s="178">
        <v>1137400</v>
      </c>
    </row>
    <row r="39" spans="1:7">
      <c r="A39" s="38">
        <v>35</v>
      </c>
      <c r="B39" s="18" t="s">
        <v>328</v>
      </c>
      <c r="C39" s="180">
        <v>9240000</v>
      </c>
      <c r="D39" s="180">
        <v>9702000</v>
      </c>
      <c r="E39" s="180">
        <v>10187100</v>
      </c>
      <c r="F39" s="180">
        <v>10697500</v>
      </c>
      <c r="G39" s="178">
        <v>11232100</v>
      </c>
    </row>
    <row r="40" spans="1:7">
      <c r="A40" s="38">
        <v>36</v>
      </c>
      <c r="B40" s="41" t="s">
        <v>330</v>
      </c>
      <c r="C40" s="180">
        <v>1100000</v>
      </c>
      <c r="D40" s="180">
        <v>1100000</v>
      </c>
      <c r="E40" s="180">
        <v>1100000</v>
      </c>
      <c r="F40" s="180">
        <v>1100000</v>
      </c>
      <c r="G40" s="178">
        <v>1100000</v>
      </c>
    </row>
    <row r="41" spans="1:7">
      <c r="A41" s="38">
        <v>37</v>
      </c>
      <c r="B41" s="44" t="s">
        <v>331</v>
      </c>
      <c r="C41" s="180">
        <v>1776500.0000000002</v>
      </c>
      <c r="D41" s="180">
        <v>1776500.0000000002</v>
      </c>
      <c r="E41" s="180">
        <v>1776500.0000000002</v>
      </c>
      <c r="F41" s="180">
        <v>1776500.0000000002</v>
      </c>
      <c r="G41" s="178">
        <v>1776500.0000000002</v>
      </c>
    </row>
    <row r="42" spans="1:7">
      <c r="A42" s="38">
        <v>38</v>
      </c>
      <c r="B42" s="40" t="s">
        <v>332</v>
      </c>
      <c r="C42" s="180">
        <v>330000</v>
      </c>
      <c r="D42" s="180">
        <v>330000</v>
      </c>
      <c r="E42" s="180">
        <v>330000</v>
      </c>
      <c r="F42" s="180">
        <v>330000</v>
      </c>
      <c r="G42" s="178">
        <v>330000</v>
      </c>
    </row>
    <row r="43" spans="1:7">
      <c r="A43" s="38">
        <v>39</v>
      </c>
      <c r="B43" s="41" t="s">
        <v>333</v>
      </c>
      <c r="C43" s="180">
        <v>9900000</v>
      </c>
      <c r="D43" s="180">
        <v>10395000</v>
      </c>
      <c r="E43" s="180">
        <v>10915300</v>
      </c>
      <c r="F43" s="180">
        <v>11460900</v>
      </c>
      <c r="G43" s="178">
        <v>12034000.000000002</v>
      </c>
    </row>
    <row r="44" spans="1:7">
      <c r="A44" s="38">
        <v>40</v>
      </c>
      <c r="B44" s="41" t="s">
        <v>337</v>
      </c>
      <c r="C44" s="180">
        <v>3300000.0000000005</v>
      </c>
      <c r="D44" s="180">
        <v>3465000.0000000005</v>
      </c>
      <c r="E44" s="180">
        <v>3638800.0000000005</v>
      </c>
      <c r="F44" s="180">
        <v>3820300.0000000005</v>
      </c>
      <c r="G44" s="178">
        <v>4011700.0000000005</v>
      </c>
    </row>
    <row r="45" spans="1:7">
      <c r="A45" s="38">
        <v>41</v>
      </c>
      <c r="B45" s="41" t="s">
        <v>338</v>
      </c>
      <c r="C45" s="180">
        <v>1716000.0000000002</v>
      </c>
      <c r="D45" s="180">
        <v>1801800.0000000002</v>
      </c>
      <c r="E45" s="180">
        <v>1892000.0000000002</v>
      </c>
      <c r="F45" s="180">
        <v>1986600.0000000002</v>
      </c>
      <c r="G45" s="178">
        <v>2086700.0000000002</v>
      </c>
    </row>
    <row r="46" spans="1:7">
      <c r="A46" s="38">
        <v>42</v>
      </c>
      <c r="B46" s="41" t="s">
        <v>339</v>
      </c>
      <c r="C46" s="180">
        <v>1122000</v>
      </c>
      <c r="D46" s="180">
        <v>1178100</v>
      </c>
      <c r="E46" s="180">
        <v>1237500</v>
      </c>
      <c r="F46" s="180">
        <v>1299100</v>
      </c>
      <c r="G46" s="178">
        <v>1364000</v>
      </c>
    </row>
    <row r="47" spans="1:7">
      <c r="A47" s="38">
        <v>43</v>
      </c>
      <c r="B47" s="41" t="s">
        <v>340</v>
      </c>
      <c r="C47" s="180">
        <v>550000</v>
      </c>
      <c r="D47" s="180">
        <v>577500</v>
      </c>
      <c r="E47" s="180">
        <v>607200</v>
      </c>
      <c r="F47" s="180">
        <v>636900</v>
      </c>
      <c r="G47" s="178">
        <v>668800</v>
      </c>
    </row>
    <row r="48" spans="1:7">
      <c r="A48" s="38">
        <v>44</v>
      </c>
      <c r="B48" s="41" t="s">
        <v>345</v>
      </c>
      <c r="C48" s="180">
        <v>792000.00000000012</v>
      </c>
      <c r="D48" s="180">
        <v>831600.00000000012</v>
      </c>
      <c r="E48" s="180">
        <v>873400.00000000012</v>
      </c>
      <c r="F48" s="180">
        <v>917400.00000000012</v>
      </c>
      <c r="G48" s="178">
        <v>963600.00000000012</v>
      </c>
    </row>
    <row r="49" spans="1:7">
      <c r="A49" s="38">
        <v>45</v>
      </c>
      <c r="B49" s="41" t="s">
        <v>347</v>
      </c>
      <c r="C49" s="180">
        <v>5280000</v>
      </c>
      <c r="D49" s="180">
        <v>5544000</v>
      </c>
      <c r="E49" s="180">
        <v>5821200.0000000009</v>
      </c>
      <c r="F49" s="180">
        <v>6112700.0000000009</v>
      </c>
      <c r="G49" s="178">
        <v>6418500.0000000009</v>
      </c>
    </row>
    <row r="50" spans="1:7">
      <c r="A50" s="38">
        <v>46</v>
      </c>
      <c r="B50" s="41" t="s">
        <v>349</v>
      </c>
      <c r="C50" s="180">
        <v>440000.00000000006</v>
      </c>
      <c r="D50" s="180">
        <v>462000.00000000006</v>
      </c>
      <c r="E50" s="180">
        <v>485100.00000000006</v>
      </c>
      <c r="F50" s="180">
        <v>510400.00000000006</v>
      </c>
      <c r="G50" s="178">
        <v>535700</v>
      </c>
    </row>
    <row r="51" spans="1:7">
      <c r="A51" s="38">
        <v>47</v>
      </c>
      <c r="B51" s="41" t="s">
        <v>350</v>
      </c>
      <c r="C51" s="180">
        <v>264000</v>
      </c>
      <c r="D51" s="180">
        <v>277200</v>
      </c>
      <c r="E51" s="180">
        <v>291500</v>
      </c>
      <c r="F51" s="180">
        <v>305800</v>
      </c>
      <c r="G51" s="178">
        <v>321200</v>
      </c>
    </row>
    <row r="52" spans="1:7">
      <c r="A52" s="38">
        <v>48</v>
      </c>
      <c r="B52" s="41" t="s">
        <v>352</v>
      </c>
      <c r="C52" s="180">
        <v>1056000</v>
      </c>
      <c r="D52" s="180">
        <v>1108800</v>
      </c>
      <c r="E52" s="180">
        <v>1164900</v>
      </c>
      <c r="F52" s="180">
        <v>1223200</v>
      </c>
      <c r="G52" s="178">
        <v>1283700</v>
      </c>
    </row>
    <row r="53" spans="1:7">
      <c r="A53" s="38">
        <v>49</v>
      </c>
      <c r="B53" s="41" t="s">
        <v>353</v>
      </c>
      <c r="C53" s="180">
        <v>550000</v>
      </c>
      <c r="D53" s="180">
        <v>577500</v>
      </c>
      <c r="E53" s="180">
        <v>607200</v>
      </c>
      <c r="F53" s="180">
        <v>636900</v>
      </c>
      <c r="G53" s="178">
        <v>668800</v>
      </c>
    </row>
    <row r="54" spans="1:7">
      <c r="A54" s="38">
        <v>50</v>
      </c>
      <c r="B54" s="41" t="s">
        <v>354</v>
      </c>
      <c r="C54" s="180">
        <v>1320000</v>
      </c>
      <c r="D54" s="180">
        <v>1386000</v>
      </c>
      <c r="E54" s="180">
        <v>1455300.0000000002</v>
      </c>
      <c r="F54" s="180">
        <v>1529000.0000000002</v>
      </c>
      <c r="G54" s="178">
        <v>1604900.0000000002</v>
      </c>
    </row>
    <row r="55" spans="1:7">
      <c r="A55" s="38">
        <v>51</v>
      </c>
      <c r="B55" s="41" t="s">
        <v>357</v>
      </c>
      <c r="C55" s="180">
        <v>1100000</v>
      </c>
      <c r="D55" s="180">
        <v>1155000</v>
      </c>
      <c r="E55" s="180">
        <v>1213300</v>
      </c>
      <c r="F55" s="180">
        <v>1273800</v>
      </c>
      <c r="G55" s="178">
        <v>1337600</v>
      </c>
    </row>
    <row r="56" spans="1:7">
      <c r="A56" s="38">
        <v>52</v>
      </c>
      <c r="B56" s="41" t="s">
        <v>358</v>
      </c>
      <c r="C56" s="180">
        <v>198000.00000000003</v>
      </c>
      <c r="D56" s="180">
        <v>207900.00000000003</v>
      </c>
      <c r="E56" s="180">
        <v>218900.00000000003</v>
      </c>
      <c r="F56" s="180">
        <v>229900.00000000003</v>
      </c>
      <c r="G56" s="178">
        <v>240900.00000000003</v>
      </c>
    </row>
    <row r="57" spans="1:7">
      <c r="A57" s="38">
        <v>53</v>
      </c>
      <c r="B57" s="41" t="s">
        <v>360</v>
      </c>
      <c r="C57" s="180">
        <v>1100000</v>
      </c>
      <c r="D57" s="180">
        <v>1155000</v>
      </c>
      <c r="E57" s="180">
        <v>1213300</v>
      </c>
      <c r="F57" s="180">
        <v>1273800</v>
      </c>
      <c r="G57" s="178">
        <v>1337600</v>
      </c>
    </row>
    <row r="58" spans="1:7">
      <c r="A58" s="38">
        <v>54</v>
      </c>
      <c r="B58" s="42" t="s">
        <v>366</v>
      </c>
      <c r="C58" s="180">
        <v>1980000.0000000002</v>
      </c>
      <c r="D58" s="180">
        <v>2079000.0000000002</v>
      </c>
      <c r="E58" s="180">
        <v>2183500</v>
      </c>
      <c r="F58" s="180">
        <v>2292400</v>
      </c>
      <c r="G58" s="178">
        <v>2406800</v>
      </c>
    </row>
    <row r="59" spans="1:7">
      <c r="A59" s="38">
        <v>55</v>
      </c>
      <c r="B59" s="42" t="s">
        <v>369</v>
      </c>
      <c r="C59" s="180">
        <v>1980000.0000000002</v>
      </c>
      <c r="D59" s="180">
        <v>2079000.0000000002</v>
      </c>
      <c r="E59" s="180">
        <v>2183500</v>
      </c>
      <c r="F59" s="180">
        <v>2292400</v>
      </c>
      <c r="G59" s="178">
        <v>2406800</v>
      </c>
    </row>
    <row r="60" spans="1:7">
      <c r="A60" s="38">
        <v>56</v>
      </c>
      <c r="B60" s="42" t="s">
        <v>370</v>
      </c>
      <c r="C60" s="180">
        <v>1980000.0000000002</v>
      </c>
      <c r="D60" s="180">
        <v>2079000.0000000002</v>
      </c>
      <c r="E60" s="180">
        <v>2183500</v>
      </c>
      <c r="F60" s="180">
        <v>2292400</v>
      </c>
      <c r="G60" s="178">
        <v>2406800</v>
      </c>
    </row>
    <row r="61" spans="1:7">
      <c r="A61" s="38">
        <v>57</v>
      </c>
      <c r="B61" s="42" t="s">
        <v>371</v>
      </c>
      <c r="C61" s="180">
        <v>2772000</v>
      </c>
      <c r="D61" s="180">
        <v>2910600.0000000005</v>
      </c>
      <c r="E61" s="180">
        <v>3056900.0000000005</v>
      </c>
      <c r="F61" s="180">
        <v>3209800.0000000005</v>
      </c>
      <c r="G61" s="178">
        <v>3370400.0000000005</v>
      </c>
    </row>
    <row r="62" spans="1:7">
      <c r="A62" s="38">
        <v>58</v>
      </c>
      <c r="B62" s="42" t="s">
        <v>372</v>
      </c>
      <c r="C62" s="180">
        <v>660000</v>
      </c>
      <c r="D62" s="180">
        <v>693000</v>
      </c>
      <c r="E62" s="180">
        <v>728200.00000000012</v>
      </c>
      <c r="F62" s="180">
        <v>764500.00000000012</v>
      </c>
      <c r="G62" s="178">
        <v>803000.00000000012</v>
      </c>
    </row>
    <row r="63" spans="1:7">
      <c r="A63" s="38">
        <v>59</v>
      </c>
      <c r="B63" s="42" t="s">
        <v>373</v>
      </c>
      <c r="C63" s="180">
        <v>2640000</v>
      </c>
      <c r="D63" s="180">
        <v>2772000</v>
      </c>
      <c r="E63" s="180">
        <v>2910600.0000000005</v>
      </c>
      <c r="F63" s="180">
        <v>3056900.0000000005</v>
      </c>
      <c r="G63" s="178">
        <v>3209800.0000000005</v>
      </c>
    </row>
    <row r="64" spans="1:7">
      <c r="A64" s="38">
        <v>60</v>
      </c>
      <c r="B64" s="42" t="s">
        <v>374</v>
      </c>
      <c r="C64" s="180">
        <v>1980000.0000000002</v>
      </c>
      <c r="D64" s="180">
        <v>2079000.0000000002</v>
      </c>
      <c r="E64" s="180">
        <v>2183500</v>
      </c>
      <c r="F64" s="180">
        <v>2292400</v>
      </c>
      <c r="G64" s="178">
        <v>2406800</v>
      </c>
    </row>
    <row r="65" spans="1:7">
      <c r="A65" s="38">
        <v>61</v>
      </c>
      <c r="B65" s="42" t="s">
        <v>375</v>
      </c>
      <c r="C65" s="180">
        <v>918500.00000000012</v>
      </c>
      <c r="D65" s="180">
        <v>964700.00000000012</v>
      </c>
      <c r="E65" s="180">
        <v>1013100.0000000001</v>
      </c>
      <c r="F65" s="180">
        <v>1063700</v>
      </c>
      <c r="G65" s="178">
        <v>1116500</v>
      </c>
    </row>
    <row r="66" spans="1:7">
      <c r="A66" s="38">
        <v>62</v>
      </c>
      <c r="B66" s="41" t="s">
        <v>361</v>
      </c>
      <c r="C66" s="180">
        <v>3366000.0000000005</v>
      </c>
      <c r="D66" s="180">
        <v>3534300.0000000005</v>
      </c>
      <c r="E66" s="180">
        <v>3711400.0000000005</v>
      </c>
      <c r="F66" s="180">
        <v>3897300.0000000005</v>
      </c>
      <c r="G66" s="178">
        <v>4092000.0000000005</v>
      </c>
    </row>
    <row r="67" spans="1:7">
      <c r="A67" s="38">
        <v>63</v>
      </c>
      <c r="B67" s="41" t="s">
        <v>362</v>
      </c>
      <c r="C67" s="180">
        <v>1980000.0000000002</v>
      </c>
      <c r="D67" s="180">
        <v>2079000.0000000002</v>
      </c>
      <c r="E67" s="180">
        <v>2183500</v>
      </c>
      <c r="F67" s="180">
        <v>2292400</v>
      </c>
      <c r="G67" s="178">
        <v>2406800</v>
      </c>
    </row>
    <row r="68" spans="1:7">
      <c r="A68" s="38">
        <v>64</v>
      </c>
      <c r="B68" s="41" t="s">
        <v>363</v>
      </c>
      <c r="C68" s="180">
        <v>541200</v>
      </c>
      <c r="D68" s="180">
        <v>568700</v>
      </c>
      <c r="E68" s="180">
        <v>597300</v>
      </c>
      <c r="F68" s="180">
        <v>627000</v>
      </c>
      <c r="G68" s="178">
        <v>658900</v>
      </c>
    </row>
    <row r="69" spans="1:7">
      <c r="A69" s="38">
        <v>65</v>
      </c>
      <c r="B69" s="41" t="s">
        <v>364</v>
      </c>
      <c r="C69" s="180">
        <v>2640000</v>
      </c>
      <c r="D69" s="180">
        <v>2772000</v>
      </c>
      <c r="E69" s="180">
        <v>2910600.0000000005</v>
      </c>
      <c r="F69" s="180">
        <v>3056900.0000000005</v>
      </c>
      <c r="G69" s="178">
        <v>3209800.0000000005</v>
      </c>
    </row>
    <row r="70" spans="1:7">
      <c r="A70" s="38">
        <v>66</v>
      </c>
      <c r="B70" s="41" t="s">
        <v>365</v>
      </c>
      <c r="C70" s="180">
        <v>541200</v>
      </c>
      <c r="D70" s="180">
        <v>568700</v>
      </c>
      <c r="E70" s="180">
        <v>597300</v>
      </c>
      <c r="F70" s="180">
        <v>627000</v>
      </c>
      <c r="G70" s="178">
        <v>658900</v>
      </c>
    </row>
    <row r="71" spans="1:7">
      <c r="A71" s="38">
        <v>67</v>
      </c>
      <c r="B71" s="3" t="s">
        <v>44</v>
      </c>
      <c r="C71" s="180">
        <v>2200</v>
      </c>
      <c r="D71" s="180">
        <v>3300.0000000000005</v>
      </c>
      <c r="E71" s="180">
        <v>3300.0000000000005</v>
      </c>
      <c r="F71" s="180">
        <v>3300.0000000000005</v>
      </c>
      <c r="G71" s="178">
        <v>3300.0000000000005</v>
      </c>
    </row>
    <row r="72" spans="1:7">
      <c r="A72" s="38">
        <v>68</v>
      </c>
      <c r="B72" s="40" t="s">
        <v>27</v>
      </c>
      <c r="C72" s="180">
        <v>6959700.0000000009</v>
      </c>
      <c r="D72" s="180">
        <v>7308400.0000000009</v>
      </c>
      <c r="E72" s="180">
        <v>7673600.0000000009</v>
      </c>
      <c r="F72" s="180">
        <v>8057500.0000000009</v>
      </c>
      <c r="G72" s="178">
        <v>8460100</v>
      </c>
    </row>
    <row r="73" spans="1:7">
      <c r="A73" s="38">
        <v>69</v>
      </c>
      <c r="B73" s="41" t="s">
        <v>28</v>
      </c>
      <c r="C73" s="180">
        <v>10439550</v>
      </c>
      <c r="D73" s="180">
        <v>10962600</v>
      </c>
      <c r="E73" s="180">
        <v>11510400</v>
      </c>
      <c r="F73" s="180">
        <v>12085700.000000002</v>
      </c>
      <c r="G73" s="178">
        <v>12689600.000000002</v>
      </c>
    </row>
    <row r="74" spans="1:7">
      <c r="A74" s="38">
        <v>70</v>
      </c>
      <c r="B74" s="41" t="s">
        <v>29</v>
      </c>
      <c r="C74" s="180">
        <v>11135520</v>
      </c>
      <c r="D74" s="180">
        <v>11693000.000000002</v>
      </c>
      <c r="E74" s="180">
        <v>12277100.000000002</v>
      </c>
      <c r="F74" s="180">
        <v>12890900.000000002</v>
      </c>
      <c r="G74" s="178">
        <v>13535500.000000002</v>
      </c>
    </row>
    <row r="75" spans="1:7">
      <c r="A75" s="38">
        <v>71</v>
      </c>
      <c r="B75" s="41" t="s">
        <v>30</v>
      </c>
      <c r="C75" s="180">
        <v>15311340.000000002</v>
      </c>
      <c r="D75" s="180">
        <v>16077600.000000002</v>
      </c>
      <c r="E75" s="180">
        <v>16881700</v>
      </c>
      <c r="F75" s="180">
        <v>17725400</v>
      </c>
      <c r="G75" s="178">
        <v>18612000</v>
      </c>
    </row>
    <row r="76" spans="1:7">
      <c r="A76" s="38">
        <v>72</v>
      </c>
      <c r="B76" s="41" t="s">
        <v>32</v>
      </c>
      <c r="C76" s="180">
        <v>220000.00000000003</v>
      </c>
      <c r="D76" s="180">
        <v>231000.00000000003</v>
      </c>
      <c r="E76" s="180">
        <v>243100.00000000003</v>
      </c>
      <c r="F76" s="180">
        <v>255200.00000000003</v>
      </c>
      <c r="G76" s="178">
        <v>268400</v>
      </c>
    </row>
    <row r="77" spans="1:7">
      <c r="A77" s="38">
        <v>73</v>
      </c>
      <c r="B77" s="41" t="s">
        <v>33</v>
      </c>
      <c r="C77" s="180">
        <v>55000.000000000007</v>
      </c>
      <c r="D77" s="180">
        <v>58300.000000000007</v>
      </c>
      <c r="E77" s="180">
        <v>61600.000000000007</v>
      </c>
      <c r="F77" s="180">
        <v>63800.000000000007</v>
      </c>
      <c r="G77" s="178">
        <v>67100</v>
      </c>
    </row>
    <row r="78" spans="1:7">
      <c r="A78" s="38">
        <v>74</v>
      </c>
      <c r="B78" s="41" t="s">
        <v>34</v>
      </c>
      <c r="C78" s="180">
        <v>110000.00000000001</v>
      </c>
      <c r="D78" s="180">
        <v>115500.00000000001</v>
      </c>
      <c r="E78" s="180">
        <v>122100.00000000001</v>
      </c>
      <c r="F78" s="180">
        <v>127600.00000000001</v>
      </c>
      <c r="G78" s="178">
        <v>134200</v>
      </c>
    </row>
    <row r="79" spans="1:7">
      <c r="A79" s="38">
        <v>75</v>
      </c>
      <c r="B79" s="41" t="s">
        <v>35</v>
      </c>
      <c r="C79" s="180">
        <v>110000.00000000001</v>
      </c>
      <c r="D79" s="180">
        <v>115500.00000000001</v>
      </c>
      <c r="E79" s="180">
        <v>122100.00000000001</v>
      </c>
      <c r="F79" s="180">
        <v>127600.00000000001</v>
      </c>
      <c r="G79" s="178">
        <v>134200</v>
      </c>
    </row>
    <row r="80" spans="1:7">
      <c r="A80" s="38">
        <v>76</v>
      </c>
      <c r="B80" s="41" t="s">
        <v>36</v>
      </c>
      <c r="C80" s="180">
        <v>203500.00000000003</v>
      </c>
      <c r="D80" s="180">
        <v>214500.00000000003</v>
      </c>
      <c r="E80" s="180">
        <v>224400.00000000003</v>
      </c>
      <c r="F80" s="180">
        <v>236500.00000000003</v>
      </c>
      <c r="G80" s="178">
        <v>247500.00000000003</v>
      </c>
    </row>
    <row r="81" spans="1:7">
      <c r="A81" s="38">
        <v>77</v>
      </c>
      <c r="B81" s="41" t="s">
        <v>39</v>
      </c>
      <c r="C81" s="180">
        <v>1980000.0000000002</v>
      </c>
      <c r="D81" s="180">
        <v>2079000.0000000002</v>
      </c>
      <c r="E81" s="180">
        <v>2183500</v>
      </c>
      <c r="F81" s="180">
        <v>2292400</v>
      </c>
      <c r="G81" s="178">
        <v>2406800</v>
      </c>
    </row>
    <row r="82" spans="1:7">
      <c r="A82" s="38">
        <v>78</v>
      </c>
      <c r="B82" s="41" t="s">
        <v>41</v>
      </c>
      <c r="C82" s="180">
        <v>330000</v>
      </c>
      <c r="D82" s="180">
        <v>346500</v>
      </c>
      <c r="E82" s="180">
        <v>364100.00000000006</v>
      </c>
      <c r="F82" s="180">
        <v>382800.00000000006</v>
      </c>
      <c r="G82" s="178">
        <v>401500.00000000006</v>
      </c>
    </row>
    <row r="83" spans="1:7">
      <c r="A83" s="38">
        <v>79</v>
      </c>
      <c r="B83" s="41" t="s">
        <v>42</v>
      </c>
      <c r="C83" s="180">
        <v>55000.000000000007</v>
      </c>
      <c r="D83" s="180">
        <v>58300.000000000007</v>
      </c>
      <c r="E83" s="180">
        <v>61600.000000000007</v>
      </c>
      <c r="F83" s="180">
        <v>63800.000000000007</v>
      </c>
      <c r="G83" s="178">
        <v>67100</v>
      </c>
    </row>
    <row r="84" spans="1:7">
      <c r="A84" s="38">
        <v>80</v>
      </c>
      <c r="B84" s="41" t="s">
        <v>43</v>
      </c>
      <c r="C84" s="180">
        <v>55000.000000000007</v>
      </c>
      <c r="D84" s="180">
        <v>58300.000000000007</v>
      </c>
      <c r="E84" s="180">
        <v>61600.000000000007</v>
      </c>
      <c r="F84" s="180">
        <v>63800.000000000007</v>
      </c>
      <c r="G84" s="178">
        <v>67100</v>
      </c>
    </row>
    <row r="85" spans="1:7">
      <c r="A85" s="38">
        <v>81</v>
      </c>
      <c r="B85" s="41" t="s">
        <v>44</v>
      </c>
      <c r="C85" s="180">
        <v>1100</v>
      </c>
      <c r="D85" s="180">
        <v>2200</v>
      </c>
      <c r="E85" s="180">
        <v>2200</v>
      </c>
      <c r="F85" s="180">
        <v>2200</v>
      </c>
      <c r="G85" s="178">
        <v>2200</v>
      </c>
    </row>
    <row r="86" spans="1:7">
      <c r="A86" s="38">
        <v>82</v>
      </c>
      <c r="B86" s="41" t="s">
        <v>45</v>
      </c>
      <c r="C86" s="180">
        <v>27500.000000000004</v>
      </c>
      <c r="D86" s="180">
        <v>29700.000000000004</v>
      </c>
      <c r="E86" s="180">
        <v>30800.000000000004</v>
      </c>
      <c r="F86" s="180">
        <v>31900.000000000004</v>
      </c>
      <c r="G86" s="178">
        <v>34100</v>
      </c>
    </row>
    <row r="87" spans="1:7">
      <c r="A87" s="38">
        <v>83</v>
      </c>
      <c r="B87" s="41" t="s">
        <v>56</v>
      </c>
      <c r="C87" s="180">
        <v>33000</v>
      </c>
      <c r="D87" s="180">
        <v>35200</v>
      </c>
      <c r="E87" s="180">
        <v>37400</v>
      </c>
      <c r="F87" s="180">
        <v>38500</v>
      </c>
      <c r="G87" s="178">
        <v>40700</v>
      </c>
    </row>
    <row r="88" spans="1:7">
      <c r="A88" s="38">
        <v>84</v>
      </c>
      <c r="B88" s="41" t="s">
        <v>57</v>
      </c>
      <c r="C88" s="180">
        <v>55000.000000000007</v>
      </c>
      <c r="D88" s="180">
        <v>58300.000000000007</v>
      </c>
      <c r="E88" s="180">
        <v>61600.000000000007</v>
      </c>
      <c r="F88" s="180">
        <v>63800.000000000007</v>
      </c>
      <c r="G88" s="178">
        <v>67100</v>
      </c>
    </row>
    <row r="89" spans="1:7">
      <c r="A89" s="38">
        <v>85</v>
      </c>
      <c r="B89" s="41" t="s">
        <v>59</v>
      </c>
      <c r="C89" s="180">
        <v>27500.000000000004</v>
      </c>
      <c r="D89" s="180">
        <v>29700.000000000004</v>
      </c>
      <c r="E89" s="180">
        <v>30800.000000000004</v>
      </c>
      <c r="F89" s="180">
        <v>31900.000000000004</v>
      </c>
      <c r="G89" s="178">
        <v>34100</v>
      </c>
    </row>
    <row r="90" spans="1:7">
      <c r="A90" s="38">
        <v>86</v>
      </c>
      <c r="B90" s="41" t="s">
        <v>318</v>
      </c>
      <c r="C90" s="180">
        <v>369600.00000000006</v>
      </c>
      <c r="D90" s="180">
        <v>388300.00000000006</v>
      </c>
      <c r="E90" s="180">
        <v>408100.00000000006</v>
      </c>
      <c r="F90" s="180">
        <v>427900.00000000006</v>
      </c>
      <c r="G90" s="178">
        <v>449900.00000000006</v>
      </c>
    </row>
    <row r="91" spans="1:7">
      <c r="A91" s="38">
        <v>87</v>
      </c>
      <c r="B91" s="41" t="s">
        <v>320</v>
      </c>
      <c r="C91" s="180">
        <v>554400</v>
      </c>
      <c r="D91" s="180">
        <v>583000</v>
      </c>
      <c r="E91" s="180">
        <v>611600</v>
      </c>
      <c r="F91" s="180">
        <v>642400</v>
      </c>
      <c r="G91" s="178">
        <v>674300</v>
      </c>
    </row>
    <row r="92" spans="1:7">
      <c r="A92" s="38">
        <v>88</v>
      </c>
      <c r="B92" s="41" t="s">
        <v>329</v>
      </c>
      <c r="C92" s="180">
        <v>1430000</v>
      </c>
      <c r="D92" s="180">
        <v>1501500.0000000002</v>
      </c>
      <c r="E92" s="180">
        <v>1577400.0000000002</v>
      </c>
      <c r="F92" s="180">
        <v>1655500.0000000002</v>
      </c>
      <c r="G92" s="178">
        <v>1739100.0000000002</v>
      </c>
    </row>
    <row r="93" spans="1:7">
      <c r="A93" s="38">
        <v>89</v>
      </c>
      <c r="B93" s="41" t="s">
        <v>334</v>
      </c>
      <c r="C93" s="180">
        <v>11880000.000000002</v>
      </c>
      <c r="D93" s="180">
        <v>12474000.000000002</v>
      </c>
      <c r="E93" s="180">
        <v>13097700.000000002</v>
      </c>
      <c r="F93" s="180">
        <v>13753300.000000002</v>
      </c>
      <c r="G93" s="178">
        <v>14440800.000000002</v>
      </c>
    </row>
    <row r="94" spans="1:7">
      <c r="A94" s="38">
        <v>90</v>
      </c>
      <c r="B94" s="41" t="s">
        <v>335</v>
      </c>
      <c r="C94" s="180">
        <v>165550</v>
      </c>
      <c r="D94" s="180">
        <v>174900</v>
      </c>
      <c r="E94" s="180">
        <v>182600.00000000003</v>
      </c>
      <c r="F94" s="180">
        <v>192500.00000000003</v>
      </c>
      <c r="G94" s="178">
        <v>201300.00000000003</v>
      </c>
    </row>
    <row r="95" spans="1:7">
      <c r="A95" s="38">
        <v>91</v>
      </c>
      <c r="B95" s="41" t="s">
        <v>336</v>
      </c>
      <c r="C95" s="180">
        <v>924000.00000000012</v>
      </c>
      <c r="D95" s="180">
        <v>970200.00000000012</v>
      </c>
      <c r="E95" s="180">
        <v>1019700.0000000001</v>
      </c>
      <c r="F95" s="180">
        <v>1070300</v>
      </c>
      <c r="G95" s="178">
        <v>1124200</v>
      </c>
    </row>
    <row r="96" spans="1:7">
      <c r="A96" s="38">
        <v>92</v>
      </c>
      <c r="B96" s="41" t="s">
        <v>341</v>
      </c>
      <c r="C96" s="180">
        <v>1980000.0000000002</v>
      </c>
      <c r="D96" s="180">
        <v>2079000.0000000002</v>
      </c>
      <c r="E96" s="180">
        <v>2183500</v>
      </c>
      <c r="F96" s="180">
        <v>2292400</v>
      </c>
      <c r="G96" s="178">
        <v>2406800</v>
      </c>
    </row>
    <row r="97" spans="1:7">
      <c r="A97" s="38">
        <v>93</v>
      </c>
      <c r="B97" s="41" t="s">
        <v>342</v>
      </c>
      <c r="C97" s="180">
        <v>2640000</v>
      </c>
      <c r="D97" s="180">
        <v>2772000</v>
      </c>
      <c r="E97" s="180">
        <v>2910600.0000000005</v>
      </c>
      <c r="F97" s="180">
        <v>3056900.0000000005</v>
      </c>
      <c r="G97" s="178">
        <v>3209800.0000000005</v>
      </c>
    </row>
    <row r="98" spans="1:7">
      <c r="A98" s="38">
        <v>94</v>
      </c>
      <c r="B98" s="41" t="s">
        <v>343</v>
      </c>
      <c r="C98" s="180">
        <v>7040000.0000000009</v>
      </c>
      <c r="D98" s="180">
        <v>7392000.0000000009</v>
      </c>
      <c r="E98" s="180">
        <v>7761600.0000000009</v>
      </c>
      <c r="F98" s="180">
        <v>8149900.0000000009</v>
      </c>
      <c r="G98" s="178">
        <v>8558000</v>
      </c>
    </row>
    <row r="99" spans="1:7">
      <c r="A99" s="38">
        <v>95</v>
      </c>
      <c r="B99" s="41" t="s">
        <v>344</v>
      </c>
      <c r="C99" s="180">
        <v>501600.00000000006</v>
      </c>
      <c r="D99" s="180">
        <v>526900</v>
      </c>
      <c r="E99" s="180">
        <v>553300</v>
      </c>
      <c r="F99" s="180">
        <v>580800</v>
      </c>
      <c r="G99" s="178">
        <v>610500</v>
      </c>
    </row>
    <row r="100" spans="1:7">
      <c r="A100" s="38">
        <v>96</v>
      </c>
      <c r="B100" s="41" t="s">
        <v>346</v>
      </c>
      <c r="C100" s="180">
        <v>3300000.0000000005</v>
      </c>
      <c r="D100" s="180">
        <v>3465000.0000000005</v>
      </c>
      <c r="E100" s="180">
        <v>3638800.0000000005</v>
      </c>
      <c r="F100" s="180">
        <v>3820300.0000000005</v>
      </c>
      <c r="G100" s="178">
        <v>4011700.0000000005</v>
      </c>
    </row>
    <row r="101" spans="1:7">
      <c r="A101" s="38">
        <v>97</v>
      </c>
      <c r="B101" s="41" t="s">
        <v>348</v>
      </c>
      <c r="C101" s="180">
        <v>2772000</v>
      </c>
      <c r="D101" s="180">
        <v>2910600.0000000005</v>
      </c>
      <c r="E101" s="180">
        <v>3056900.0000000005</v>
      </c>
      <c r="F101" s="180">
        <v>3209800.0000000005</v>
      </c>
      <c r="G101" s="178">
        <v>3370400.0000000005</v>
      </c>
    </row>
    <row r="102" spans="1:7">
      <c r="A102" s="38">
        <v>98</v>
      </c>
      <c r="B102" s="41" t="s">
        <v>351</v>
      </c>
      <c r="C102" s="180">
        <v>726000.00000000012</v>
      </c>
      <c r="D102" s="180">
        <v>762300.00000000012</v>
      </c>
      <c r="E102" s="180">
        <v>800800.00000000012</v>
      </c>
      <c r="F102" s="180">
        <v>841500.00000000012</v>
      </c>
      <c r="G102" s="178">
        <v>883300.00000000012</v>
      </c>
    </row>
    <row r="103" spans="1:7">
      <c r="A103" s="38">
        <v>99</v>
      </c>
      <c r="B103" s="41" t="s">
        <v>355</v>
      </c>
      <c r="C103" s="180">
        <v>330000</v>
      </c>
      <c r="D103" s="180">
        <v>346500</v>
      </c>
      <c r="E103" s="180">
        <v>364100.00000000006</v>
      </c>
      <c r="F103" s="180">
        <v>382800.00000000006</v>
      </c>
      <c r="G103" s="178">
        <v>401500.00000000006</v>
      </c>
    </row>
    <row r="104" spans="1:7">
      <c r="A104" s="38">
        <v>100</v>
      </c>
      <c r="B104" s="41" t="s">
        <v>356</v>
      </c>
      <c r="C104" s="180">
        <v>3300000.0000000005</v>
      </c>
      <c r="D104" s="180">
        <v>3465000.0000000005</v>
      </c>
      <c r="E104" s="180">
        <v>3638800.0000000005</v>
      </c>
      <c r="F104" s="180">
        <v>3820300.0000000005</v>
      </c>
      <c r="G104" s="178">
        <v>4011700.0000000005</v>
      </c>
    </row>
    <row r="105" spans="1:7">
      <c r="A105" s="38">
        <v>101</v>
      </c>
      <c r="B105" s="41" t="s">
        <v>359</v>
      </c>
      <c r="C105" s="180">
        <v>660000</v>
      </c>
      <c r="D105" s="180">
        <v>693000</v>
      </c>
      <c r="E105" s="180">
        <v>728200.00000000012</v>
      </c>
      <c r="F105" s="180">
        <v>764500.00000000012</v>
      </c>
      <c r="G105" s="178">
        <v>803000.00000000012</v>
      </c>
    </row>
    <row r="106" spans="1:7">
      <c r="A106" s="38">
        <v>102</v>
      </c>
      <c r="B106" s="41" t="s">
        <v>367</v>
      </c>
      <c r="C106" s="180">
        <v>396000.00000000006</v>
      </c>
      <c r="D106" s="180">
        <v>415800.00000000006</v>
      </c>
      <c r="E106" s="180">
        <v>436700.00000000006</v>
      </c>
      <c r="F106" s="180">
        <v>458700.00000000006</v>
      </c>
      <c r="G106" s="178">
        <v>481800.00000000006</v>
      </c>
    </row>
    <row r="107" spans="1:7" ht="15.75" thickBot="1">
      <c r="A107" s="38">
        <v>103</v>
      </c>
      <c r="B107" s="43" t="s">
        <v>368</v>
      </c>
      <c r="C107" s="180">
        <v>4180000.0000000005</v>
      </c>
      <c r="D107" s="180">
        <v>4389000</v>
      </c>
      <c r="E107" s="180">
        <v>4609000</v>
      </c>
      <c r="F107" s="180">
        <v>4838900</v>
      </c>
      <c r="G107" s="178">
        <v>5080900</v>
      </c>
    </row>
    <row r="108" spans="1:7">
      <c r="A108"/>
      <c r="B108" s="290" t="s">
        <v>2344</v>
      </c>
      <c r="C108" s="291">
        <v>330000</v>
      </c>
      <c r="D108" s="291">
        <v>363000</v>
      </c>
      <c r="E108" s="291">
        <v>396000</v>
      </c>
      <c r="F108" s="291">
        <v>429000</v>
      </c>
      <c r="G108" s="291">
        <v>462000</v>
      </c>
    </row>
    <row r="109" spans="1:7">
      <c r="B109" s="290" t="s">
        <v>2345</v>
      </c>
      <c r="C109" s="291">
        <v>550000</v>
      </c>
      <c r="D109" s="291">
        <v>550000</v>
      </c>
      <c r="E109" s="291">
        <v>550000</v>
      </c>
      <c r="F109" s="291">
        <v>550000</v>
      </c>
      <c r="G109" s="291">
        <v>550000</v>
      </c>
    </row>
    <row r="110" spans="1:7">
      <c r="A110"/>
      <c r="B110" s="290" t="s">
        <v>2346</v>
      </c>
      <c r="C110" s="291"/>
      <c r="D110" s="291"/>
      <c r="E110"/>
      <c r="F110"/>
      <c r="G110"/>
    </row>
    <row r="111" spans="1:7">
      <c r="A111"/>
      <c r="B111"/>
      <c r="C111"/>
      <c r="D111"/>
      <c r="E111"/>
      <c r="F111"/>
      <c r="G111"/>
    </row>
    <row r="112" spans="1:7">
      <c r="A112" s="61" t="s">
        <v>1554</v>
      </c>
      <c r="B112"/>
      <c r="C112"/>
      <c r="D112"/>
      <c r="E112"/>
      <c r="F112"/>
      <c r="G112"/>
    </row>
    <row r="113" spans="1:7">
      <c r="A113"/>
      <c r="B113"/>
      <c r="C113"/>
      <c r="D113"/>
      <c r="E113"/>
      <c r="F113"/>
      <c r="G113"/>
    </row>
    <row r="114" spans="1:7">
      <c r="A114"/>
      <c r="B114"/>
      <c r="C114"/>
      <c r="D114"/>
      <c r="E114"/>
      <c r="F114"/>
      <c r="G114"/>
    </row>
  </sheetData>
  <pageMargins left="0.7" right="0.7" top="0.75" bottom="0.75" header="0.3" footer="0.3"/>
  <pageSetup paperSize="9" scale="60" fitToHeight="0" orientation="portrait" r:id="rId1"/>
  <headerFooter>
    <oddHeader>&amp;R&amp;"-,Bold"PEMAKAIAN ALAT</oddHeader>
    <oddFooter>&amp;L&amp;P+42 | &amp;F&amp;RTARIF PEMAKAIAN ALAT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F0F1B-E9CB-4275-9F68-08AA57AD8E4A}">
  <sheetPr codeName="Sheet12"/>
  <dimension ref="A1:M59"/>
  <sheetViews>
    <sheetView showGridLines="0" view="pageLayout" zoomScale="72" zoomScaleNormal="100" zoomScalePageLayoutView="72" workbookViewId="0">
      <selection activeCell="A40" sqref="A40:G41"/>
    </sheetView>
  </sheetViews>
  <sheetFormatPr defaultRowHeight="15"/>
  <cols>
    <col min="1" max="1" width="5.5703125" customWidth="1"/>
    <col min="2" max="2" width="40.28515625" customWidth="1"/>
    <col min="3" max="3" width="16.7109375" style="1" customWidth="1"/>
  </cols>
  <sheetData>
    <row r="1" spans="1:3" ht="18.75">
      <c r="A1" s="50" t="s">
        <v>797</v>
      </c>
    </row>
    <row r="2" spans="1:3" ht="18.75">
      <c r="A2" s="50" t="s">
        <v>440</v>
      </c>
    </row>
    <row r="3" spans="1:3" ht="15.75" thickBot="1"/>
    <row r="4" spans="1:3" ht="16.5" thickBot="1">
      <c r="A4" s="279" t="s">
        <v>15</v>
      </c>
      <c r="B4" s="283" t="s">
        <v>387</v>
      </c>
      <c r="C4" s="14" t="s">
        <v>418</v>
      </c>
    </row>
    <row r="5" spans="1:3" ht="15.75">
      <c r="A5" s="280">
        <v>1</v>
      </c>
      <c r="B5" s="281" t="s">
        <v>419</v>
      </c>
      <c r="C5" s="192">
        <v>140000</v>
      </c>
    </row>
    <row r="6" spans="1:3" ht="15.75">
      <c r="A6" s="266">
        <v>2</v>
      </c>
      <c r="B6" s="278" t="s">
        <v>420</v>
      </c>
      <c r="C6" s="28">
        <v>279000</v>
      </c>
    </row>
    <row r="7" spans="1:3" ht="15.75">
      <c r="A7" s="266">
        <v>3</v>
      </c>
      <c r="B7" s="278" t="s">
        <v>421</v>
      </c>
      <c r="C7" s="28">
        <v>418000</v>
      </c>
    </row>
    <row r="8" spans="1:3" ht="15.75">
      <c r="A8" s="266">
        <v>4</v>
      </c>
      <c r="B8" s="278" t="s">
        <v>422</v>
      </c>
      <c r="C8" s="28">
        <v>557000</v>
      </c>
    </row>
    <row r="9" spans="1:3" ht="15.75">
      <c r="A9" s="266">
        <v>5</v>
      </c>
      <c r="B9" s="278" t="s">
        <v>423</v>
      </c>
      <c r="C9" s="28">
        <v>696000</v>
      </c>
    </row>
    <row r="10" spans="1:3" ht="15.75">
      <c r="A10" s="266">
        <v>6</v>
      </c>
      <c r="B10" s="278" t="s">
        <v>424</v>
      </c>
      <c r="C10" s="28">
        <v>835000</v>
      </c>
    </row>
    <row r="11" spans="1:3" ht="15.75">
      <c r="A11" s="266">
        <v>7</v>
      </c>
      <c r="B11" s="278" t="s">
        <v>425</v>
      </c>
      <c r="C11" s="28">
        <v>975000</v>
      </c>
    </row>
    <row r="12" spans="1:3" ht="15.75">
      <c r="A12" s="266">
        <v>8</v>
      </c>
      <c r="B12" s="278" t="s">
        <v>426</v>
      </c>
      <c r="C12" s="28">
        <v>1114000</v>
      </c>
    </row>
    <row r="13" spans="1:3" ht="15.75">
      <c r="A13" s="266">
        <v>9</v>
      </c>
      <c r="B13" s="278" t="s">
        <v>427</v>
      </c>
      <c r="C13" s="28">
        <v>1531000</v>
      </c>
    </row>
    <row r="14" spans="1:3" ht="15.75">
      <c r="A14" s="266">
        <v>10</v>
      </c>
      <c r="B14" s="278" t="s">
        <v>428</v>
      </c>
      <c r="C14" s="28">
        <v>1670000</v>
      </c>
    </row>
    <row r="15" spans="1:3" ht="15.75">
      <c r="A15" s="266">
        <v>11</v>
      </c>
      <c r="B15" s="278" t="s">
        <v>429</v>
      </c>
      <c r="C15" s="28">
        <v>1809000</v>
      </c>
    </row>
    <row r="16" spans="1:3" ht="15.75">
      <c r="A16" s="266">
        <v>12</v>
      </c>
      <c r="B16" s="278" t="s">
        <v>430</v>
      </c>
      <c r="C16" s="28">
        <v>1949000</v>
      </c>
    </row>
    <row r="17" spans="1:6" ht="15.75">
      <c r="A17" s="266">
        <v>13</v>
      </c>
      <c r="B17" s="278" t="s">
        <v>431</v>
      </c>
      <c r="C17" s="28">
        <v>2088000</v>
      </c>
    </row>
    <row r="18" spans="1:6" ht="15.75">
      <c r="A18" s="266">
        <v>14</v>
      </c>
      <c r="B18" s="278" t="s">
        <v>432</v>
      </c>
      <c r="C18" s="28">
        <v>2227000</v>
      </c>
    </row>
    <row r="19" spans="1:6" ht="15.75">
      <c r="A19" s="266">
        <v>15</v>
      </c>
      <c r="B19" s="278" t="s">
        <v>433</v>
      </c>
      <c r="C19" s="28">
        <v>2366000</v>
      </c>
    </row>
    <row r="20" spans="1:6" ht="15.75">
      <c r="A20" s="266">
        <v>16</v>
      </c>
      <c r="B20" s="278" t="s">
        <v>434</v>
      </c>
      <c r="C20" s="28">
        <v>2505000</v>
      </c>
    </row>
    <row r="21" spans="1:6" ht="15.75">
      <c r="A21" s="266">
        <v>17</v>
      </c>
      <c r="B21" s="278" t="s">
        <v>435</v>
      </c>
      <c r="C21" s="28">
        <v>2644000</v>
      </c>
      <c r="D21" s="1"/>
    </row>
    <row r="22" spans="1:6" ht="16.5" thickBot="1">
      <c r="A22" s="267">
        <v>18</v>
      </c>
      <c r="B22" s="282" t="s">
        <v>436</v>
      </c>
      <c r="C22" s="32">
        <v>2783000</v>
      </c>
    </row>
    <row r="24" spans="1:6">
      <c r="A24" s="68" t="s">
        <v>462</v>
      </c>
    </row>
    <row r="25" spans="1:6">
      <c r="A25" t="s">
        <v>467</v>
      </c>
    </row>
    <row r="26" spans="1:6">
      <c r="A26" s="362" t="s">
        <v>468</v>
      </c>
      <c r="B26" s="362"/>
      <c r="C26" s="362"/>
      <c r="D26" s="362"/>
      <c r="E26" s="362"/>
      <c r="F26" s="362"/>
    </row>
    <row r="27" spans="1:6">
      <c r="A27" s="362"/>
      <c r="B27" s="362"/>
      <c r="C27" s="362"/>
      <c r="D27" s="362"/>
      <c r="E27" s="362"/>
      <c r="F27" s="362"/>
    </row>
    <row r="28" spans="1:6">
      <c r="A28" s="176"/>
      <c r="B28" s="176"/>
      <c r="C28" s="176"/>
      <c r="D28" s="176"/>
      <c r="E28" s="176"/>
      <c r="F28" s="176"/>
    </row>
    <row r="29" spans="1:6">
      <c r="A29" s="176"/>
      <c r="B29" s="176"/>
      <c r="C29" s="176"/>
      <c r="D29" s="176"/>
      <c r="E29" s="176"/>
      <c r="F29" s="176"/>
    </row>
    <row r="30" spans="1:6">
      <c r="A30" s="176"/>
      <c r="B30" s="176"/>
      <c r="C30" s="176"/>
      <c r="D30" s="176"/>
      <c r="E30" s="176"/>
      <c r="F30" s="176"/>
    </row>
    <row r="31" spans="1:6">
      <c r="A31" s="176"/>
      <c r="B31" s="176"/>
      <c r="C31" s="176"/>
      <c r="D31" s="176"/>
      <c r="E31" s="176"/>
      <c r="F31" s="176"/>
    </row>
    <row r="32" spans="1:6">
      <c r="A32" s="176"/>
      <c r="B32" s="176"/>
      <c r="C32" s="176"/>
      <c r="D32" s="176"/>
      <c r="E32" s="176"/>
      <c r="F32" s="176"/>
    </row>
    <row r="33" spans="1:13">
      <c r="A33" s="176"/>
      <c r="B33" s="176"/>
      <c r="C33" s="176"/>
      <c r="D33" s="176"/>
      <c r="E33" s="176"/>
      <c r="F33" s="176"/>
    </row>
    <row r="34" spans="1:13">
      <c r="A34" s="176"/>
      <c r="B34" s="176"/>
      <c r="C34" s="176"/>
      <c r="D34" s="176"/>
      <c r="E34" s="176"/>
      <c r="F34" s="176"/>
    </row>
    <row r="35" spans="1:13">
      <c r="A35" s="176"/>
      <c r="B35" s="176"/>
      <c r="C35" s="176"/>
      <c r="D35" s="176"/>
      <c r="E35" s="176"/>
      <c r="F35" s="176"/>
    </row>
    <row r="36" spans="1:13">
      <c r="A36" s="176"/>
      <c r="B36" s="176"/>
      <c r="C36" s="176"/>
      <c r="D36" s="176"/>
      <c r="E36" s="176"/>
      <c r="F36" s="176"/>
    </row>
    <row r="38" spans="1:13">
      <c r="A38" s="170" t="s">
        <v>833</v>
      </c>
      <c r="B38" s="70"/>
      <c r="C38" s="175"/>
      <c r="D38" s="70"/>
      <c r="E38" s="70"/>
      <c r="F38" s="70"/>
      <c r="G38" s="70"/>
    </row>
    <row r="39" spans="1:13" ht="15" customHeight="1">
      <c r="A39" s="167" t="s">
        <v>834</v>
      </c>
      <c r="B39" s="71"/>
      <c r="C39" s="71"/>
      <c r="D39" s="71"/>
      <c r="E39" s="71"/>
      <c r="F39" s="71"/>
      <c r="G39" s="71"/>
      <c r="H39" s="174"/>
      <c r="I39" s="174"/>
      <c r="J39" s="174"/>
      <c r="K39" s="174"/>
      <c r="L39" s="174"/>
      <c r="M39" s="70"/>
    </row>
    <row r="40" spans="1:13">
      <c r="A40" s="297" t="s">
        <v>835</v>
      </c>
      <c r="B40" s="297"/>
      <c r="C40" s="297"/>
      <c r="D40" s="297"/>
      <c r="E40" s="297"/>
      <c r="F40" s="297"/>
      <c r="G40" s="297"/>
      <c r="H40" s="70"/>
      <c r="I40" s="70"/>
      <c r="J40" s="70"/>
      <c r="K40" s="70"/>
      <c r="L40" s="70"/>
      <c r="M40" s="70"/>
    </row>
    <row r="41" spans="1:13" ht="15" customHeight="1">
      <c r="A41" s="297"/>
      <c r="B41" s="297"/>
      <c r="C41" s="297"/>
      <c r="D41" s="297"/>
      <c r="E41" s="297"/>
      <c r="F41" s="297"/>
      <c r="G41" s="297"/>
      <c r="H41" s="174"/>
      <c r="I41" s="174"/>
      <c r="J41" s="174"/>
      <c r="K41" s="174"/>
      <c r="L41" s="174"/>
      <c r="M41" s="174"/>
    </row>
    <row r="42" spans="1:13">
      <c r="A42" s="297" t="s">
        <v>836</v>
      </c>
      <c r="B42" s="297"/>
      <c r="C42" s="297"/>
      <c r="D42" s="297"/>
      <c r="E42" s="297"/>
      <c r="F42" s="297"/>
      <c r="G42" s="297"/>
    </row>
    <row r="43" spans="1:13">
      <c r="A43" s="297"/>
      <c r="B43" s="297"/>
      <c r="C43" s="297"/>
      <c r="D43" s="297"/>
      <c r="E43" s="297"/>
      <c r="F43" s="297"/>
      <c r="G43" s="297"/>
    </row>
    <row r="47" spans="1:13">
      <c r="D47" s="363" t="s">
        <v>2308</v>
      </c>
      <c r="E47" s="363"/>
      <c r="F47" s="363"/>
      <c r="G47" s="363"/>
      <c r="H47" s="363"/>
      <c r="I47" s="363"/>
    </row>
    <row r="48" spans="1:13">
      <c r="D48" s="1"/>
    </row>
    <row r="49" spans="4:9">
      <c r="D49" s="1"/>
    </row>
    <row r="50" spans="4:9">
      <c r="D50" s="1"/>
    </row>
    <row r="51" spans="4:9">
      <c r="D51" s="1"/>
    </row>
    <row r="52" spans="4:9">
      <c r="D52" s="1"/>
    </row>
    <row r="53" spans="4:9">
      <c r="D53" s="1"/>
    </row>
    <row r="54" spans="4:9">
      <c r="D54" s="1"/>
    </row>
    <row r="55" spans="4:9">
      <c r="D55" s="1"/>
    </row>
    <row r="56" spans="4:9">
      <c r="D56" s="364" t="s">
        <v>837</v>
      </c>
      <c r="E56" s="364"/>
      <c r="F56" s="364"/>
      <c r="G56" s="364"/>
      <c r="H56" s="364"/>
      <c r="I56" s="364"/>
    </row>
    <row r="57" spans="4:9" ht="15" customHeight="1">
      <c r="D57" s="361" t="s">
        <v>838</v>
      </c>
      <c r="E57" s="361"/>
      <c r="F57" s="361"/>
      <c r="G57" s="361"/>
      <c r="H57" s="361"/>
      <c r="I57" s="361"/>
    </row>
    <row r="58" spans="4:9">
      <c r="D58" s="361"/>
      <c r="E58" s="361"/>
      <c r="F58" s="361"/>
      <c r="G58" s="361"/>
      <c r="H58" s="361"/>
      <c r="I58" s="361"/>
    </row>
    <row r="59" spans="4:9">
      <c r="D59" s="1"/>
    </row>
  </sheetData>
  <sheetProtection algorithmName="SHA-512" hashValue="4T9FG2QwvgdOP8Ra6cX6aEdXHE8bD51rV5/cBldAvgi6CArxB8RI0ZH06g03V6RmHrmrzmHJdgQ/tvMevAbZ1Q==" saltValue="WPnpJqx8caVM8dELh9ULbA==" spinCount="100000" sheet="1" objects="1" scenarios="1"/>
  <mergeCells count="6">
    <mergeCell ref="D57:I58"/>
    <mergeCell ref="A26:F27"/>
    <mergeCell ref="A40:G41"/>
    <mergeCell ref="A42:G43"/>
    <mergeCell ref="D47:I47"/>
    <mergeCell ref="D56:I56"/>
  </mergeCells>
  <pageMargins left="0.25" right="0.25" top="0.75" bottom="0.75" header="0.3" footer="0.3"/>
  <pageSetup paperSize="9" scale="75" fitToWidth="0" fitToHeight="0" orientation="portrait" horizontalDpi="4294967293" r:id="rId1"/>
  <headerFooter>
    <oddHeader>&amp;R&amp;"-,Bold"AMBULANCE</oddHeader>
    <oddFooter>&amp;L&amp;P+44 | &amp;F&amp;RTARIF AMBULANCE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8f3c734-bd5e-4c26-9e92-6449592b199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D44109E7F03549ABC0B1FFDBD75453" ma:contentTypeVersion="9" ma:contentTypeDescription="Create a new document." ma:contentTypeScope="" ma:versionID="ddb6ebdcfc23030420c52c3fe90e4b80">
  <xsd:schema xmlns:xsd="http://www.w3.org/2001/XMLSchema" xmlns:xs="http://www.w3.org/2001/XMLSchema" xmlns:p="http://schemas.microsoft.com/office/2006/metadata/properties" xmlns:ns3="c8f3c734-bd5e-4c26-9e92-6449592b1996" xmlns:ns4="ccd81715-e102-4189-b5d3-ae5e06e1e89d" targetNamespace="http://schemas.microsoft.com/office/2006/metadata/properties" ma:root="true" ma:fieldsID="7b25318c48cd2c6e094fc1e0fe18b7a5" ns3:_="" ns4:_="">
    <xsd:import namespace="c8f3c734-bd5e-4c26-9e92-6449592b1996"/>
    <xsd:import namespace="ccd81715-e102-4189-b5d3-ae5e06e1e89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f3c734-bd5e-4c26-9e92-6449592b19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d81715-e102-4189-b5d3-ae5e06e1e89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D35DB46C-DB0A-42AD-987D-C80EC8316F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2788C24-3DAD-4CC4-BA9C-0B20C6C8CA8A}">
  <ds:schemaRefs>
    <ds:schemaRef ds:uri="http://www.w3.org/XML/1998/namespace"/>
    <ds:schemaRef ds:uri="http://purl.org/dc/elements/1.1/"/>
    <ds:schemaRef ds:uri="http://purl.org/dc/terms/"/>
    <ds:schemaRef ds:uri="http://schemas.microsoft.com/office/2006/metadata/properties"/>
    <ds:schemaRef ds:uri="ccd81715-e102-4189-b5d3-ae5e06e1e89d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c8f3c734-bd5e-4c26-9e92-6449592b1996"/>
  </ds:schemaRefs>
</ds:datastoreItem>
</file>

<file path=customXml/itemProps3.xml><?xml version="1.0" encoding="utf-8"?>
<ds:datastoreItem xmlns:ds="http://schemas.openxmlformats.org/officeDocument/2006/customXml" ds:itemID="{4DC5D19A-9654-4924-AF12-F81493F9D7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f3c734-bd5e-4c26-9e92-6449592b1996"/>
    <ds:schemaRef ds:uri="ccd81715-e102-4189-b5d3-ae5e06e1e8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085A358-7940-4FCE-B6E3-58670A52F7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5</vt:i4>
      </vt:variant>
    </vt:vector>
  </HeadingPairs>
  <TitlesOfParts>
    <vt:vector size="17" baseType="lpstr">
      <vt:lpstr>KAMAR</vt:lpstr>
      <vt:lpstr>1. PELAYANAN</vt:lpstr>
      <vt:lpstr>2. RAJAL</vt:lpstr>
      <vt:lpstr>3. RANAP</vt:lpstr>
      <vt:lpstr>4. FISIOTERAPI</vt:lpstr>
      <vt:lpstr>5. RADIOLOGI</vt:lpstr>
      <vt:lpstr>6. LABORATORIUM</vt:lpstr>
      <vt:lpstr>Sheet2</vt:lpstr>
      <vt:lpstr>7. OPERASI</vt:lpstr>
      <vt:lpstr>7. Gol. Operasi </vt:lpstr>
      <vt:lpstr>8. PEMAKAIAN ALAT</vt:lpstr>
      <vt:lpstr>9. AMBULANCE</vt:lpstr>
      <vt:lpstr>'2. RAJAL'!Print_Titles</vt:lpstr>
      <vt:lpstr>'3. RANAP'!Print_Titles</vt:lpstr>
      <vt:lpstr>'6. LABORATORIUM'!Print_Titles</vt:lpstr>
      <vt:lpstr>'8. PEMAKAIAN ALAT'!Print_Titles</vt:lpstr>
      <vt:lpstr>KAMAR!Print_Titles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Syafira Maharaniputri Vyandra</dc:creator>
  <cp:lastModifiedBy>USER</cp:lastModifiedBy>
  <cp:lastPrinted>2026-03-17T02:12:24Z</cp:lastPrinted>
  <dcterms:created xsi:type="dcterms:W3CDTF">2025-02-28T03:01:05Z</dcterms:created>
  <dcterms:modified xsi:type="dcterms:W3CDTF">2026-03-25T13:03:24Z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0x01010039D44109E7F03549ABC0B1FFDBD75453</vt:lpwstr>
  </property>
</Properties>
</file>